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\OneDrive\Escritorio\Segundo Semestre\Macro 2\Tarea 2\"/>
    </mc:Choice>
  </mc:AlternateContent>
  <xr:revisionPtr revIDLastSave="0" documentId="13_ncr:1_{8C29B803-EB54-477B-90D3-50DD29458C8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ase encadenada" sheetId="7" r:id="rId1"/>
  </sheets>
  <calcPr calcId="191029"/>
</workbook>
</file>

<file path=xl/calcChain.xml><?xml version="1.0" encoding="utf-8"?>
<calcChain xmlns="http://schemas.openxmlformats.org/spreadsheetml/2006/main">
  <c r="K98" i="7" l="1"/>
  <c r="K99" i="7"/>
  <c r="K100" i="7"/>
  <c r="K101" i="7"/>
  <c r="K102" i="7"/>
  <c r="K103" i="7"/>
  <c r="K104" i="7"/>
  <c r="K97" i="7"/>
  <c r="I104" i="7"/>
  <c r="H104" i="7"/>
  <c r="G104" i="7"/>
  <c r="G98" i="7"/>
  <c r="H98" i="7"/>
  <c r="I98" i="7"/>
  <c r="G99" i="7"/>
  <c r="H99" i="7"/>
  <c r="I99" i="7"/>
  <c r="G100" i="7"/>
  <c r="H100" i="7"/>
  <c r="I100" i="7"/>
  <c r="G101" i="7"/>
  <c r="H101" i="7"/>
  <c r="I101" i="7"/>
  <c r="G102" i="7"/>
  <c r="H102" i="7"/>
  <c r="I102" i="7"/>
  <c r="G103" i="7"/>
  <c r="H103" i="7"/>
  <c r="I103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6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</calcChain>
</file>

<file path=xl/sharedStrings.xml><?xml version="1.0" encoding="utf-8"?>
<sst xmlns="http://schemas.openxmlformats.org/spreadsheetml/2006/main" count="114" uniqueCount="114">
  <si>
    <t>Periodo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</si>
  <si>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</si>
  <si>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</si>
  <si>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</si>
  <si>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</si>
  <si>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</si>
  <si>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</si>
  <si>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</si>
  <si>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</si>
  <si>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</si>
  <si>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</si>
  <si>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</si>
  <si>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</si>
  <si>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</si>
  <si>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</si>
  <si>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</si>
  <si>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</si>
  <si>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</si>
  <si>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</si>
  <si>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</si>
  <si>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</si>
  <si>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</si>
  <si>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</si>
  <si>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</si>
  <si>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</si>
  <si>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</si>
  <si>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</si>
  <si>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</si>
  <si>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</si>
  <si>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</si>
  <si>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</si>
  <si>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</si>
  <si>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</si>
  <si>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</si>
  <si>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</si>
  <si>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</si>
  <si>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</si>
  <si>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</si>
  <si>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</si>
  <si>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</si>
  <si>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</si>
  <si>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</si>
  <si>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</si>
  <si>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</si>
  <si>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</si>
  <si>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</si>
  <si>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</si>
  <si>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</si>
  <si>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</si>
  <si>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</si>
  <si>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</si>
  <si>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</si>
  <si>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</si>
  <si>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</si>
  <si>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</si>
  <si>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</si>
  <si>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</si>
  <si>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</si>
  <si>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</si>
  <si>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</si>
  <si>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</si>
  <si>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</si>
  <si>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</si>
  <si>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</si>
  <si>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</si>
  <si>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</si>
  <si>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</si>
  <si>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</si>
  <si>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</si>
  <si>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</si>
  <si>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</si>
  <si>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</si>
  <si>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</si>
  <si>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</si>
  <si>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</si>
  <si>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</si>
  <si>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</si>
  <si>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</si>
  <si>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</si>
  <si>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</si>
  <si>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</si>
  <si>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</si>
  <si>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</si>
  <si>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</si>
  <si>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</si>
  <si>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</si>
  <si>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</si>
  <si>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</si>
  <si>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</si>
  <si>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</si>
  <si>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</si>
  <si>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</si>
  <si>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</si>
  <si>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</si>
  <si>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</si>
  <si>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</si>
  <si>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</si>
  <si>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C</t>
  </si>
  <si>
    <t>I</t>
  </si>
  <si>
    <t>Y</t>
  </si>
  <si>
    <t>year</t>
  </si>
  <si>
    <t>q</t>
  </si>
  <si>
    <t>dC</t>
  </si>
  <si>
    <t>dI</t>
  </si>
  <si>
    <t>dY</t>
  </si>
  <si>
    <t>r_tiie</t>
  </si>
  <si>
    <t>dr_tiie</t>
  </si>
  <si>
    <t>2019/01</t>
  </si>
  <si>
    <t>2019/02</t>
  </si>
  <si>
    <t>2019/03</t>
  </si>
  <si>
    <t>2019/04</t>
  </si>
  <si>
    <t>2020/01</t>
  </si>
  <si>
    <t>2020/02</t>
  </si>
  <si>
    <t>2020/03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</si>
</sst>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4"/>
  <sheetViews>
    <sheetView tabSelected="1" zoomScale="125" zoomScaleNormal="100" workbookViewId="0">
      <pane ySplit="1" topLeftCell="A89" activePane="bottomLeft" state="frozen"/>
      <selection pane="bottomLeft" activeCell="I105" sqref="I105"/>
    </sheetView>
  </sheetViews>
  <sheetFormatPr baseColWidth="10" defaultRowHeight="12.75" x14ac:dyDescent="0.2"/>
  <cols>
    <col min="1" max="3" width="11.42578125" style="1"/>
    <col min="7" max="7" width="12.28515625" bestFit="1" customWidth="1"/>
  </cols>
  <sheetData>
    <row r="1" spans="1:11" x14ac:dyDescent="0.2">
      <c r="A1" s="1" t="s">
        <v>0</v>
      </c>
      <c r="B1" s="1" t="s">
        <v>100</v>
      </c>
      <c r="C1" s="1" t="s">
        <v>101</v>
      </c>
      <c r="D1" t="s">
        <v>97</v>
      </c>
      <c r="E1" t="s">
        <v>98</v>
      </c>
      <c r="F1" s="2" t="s">
        <v>99</v>
      </c>
      <c r="G1" t="s">
        <v>102</v>
      </c>
      <c r="H1" t="s">
        <v>103</v>
      </c>
      <c r="I1" t="s">
        <v>104</v>
      </c>
      <c r="J1" s="3" t="s">
        <v>105</v>
      </c>
      <c r="K1" s="3" t="s">
        <v>106</v>
      </c>
    </row>
    <row r="2" spans="1:11" x14ac:dyDescent="0.2">
      <c r="A2" s="1" t="s">
        <v>1</v>
      </c>
      <c r="B2" s="1" t="str">
        <f t="shared" ref="B2:B6" si="0">LEFT(A2,4)</f>
        <v>1995</v>
      </c>
      <c r="C2" s="1" t="str">
        <f t="shared" ref="C2:C6" si="1">RIGHT(A2,1)</f>
        <v>1</v>
      </c>
      <c r="D2">
        <v>6322206.0103456303</v>
      </c>
      <c r="E2">
        <v>1676428.30297534</v>
      </c>
      <c r="F2" s="2">
        <v>10233332.8704258</v>
      </c>
      <c r="G2" s="2"/>
      <c r="H2" s="2"/>
      <c r="I2" s="2"/>
      <c r="J2" s="4">
        <v>74.490000000000009</v>
      </c>
    </row>
    <row r="3" spans="1:11" x14ac:dyDescent="0.2">
      <c r="A3" s="1" t="s">
        <v>2</v>
      </c>
      <c r="B3" s="1" t="str">
        <f t="shared" si="0"/>
        <v>1995</v>
      </c>
      <c r="C3" s="1" t="str">
        <f t="shared" si="1"/>
        <v>2</v>
      </c>
      <c r="D3">
        <v>6199427.3709759004</v>
      </c>
      <c r="E3">
        <v>1476913.1239430101</v>
      </c>
      <c r="F3" s="2">
        <v>9736610.7639404498</v>
      </c>
      <c r="G3" s="2"/>
      <c r="H3" s="2"/>
      <c r="I3" s="2"/>
      <c r="J3" s="4">
        <v>31.303333333333342</v>
      </c>
    </row>
    <row r="4" spans="1:11" x14ac:dyDescent="0.2">
      <c r="A4" s="1" t="s">
        <v>3</v>
      </c>
      <c r="B4" s="1" t="str">
        <f t="shared" si="0"/>
        <v>1995</v>
      </c>
      <c r="C4" s="1" t="str">
        <f t="shared" si="1"/>
        <v>3</v>
      </c>
      <c r="D4">
        <v>6254734.1158700399</v>
      </c>
      <c r="E4">
        <v>1502967.7905013899</v>
      </c>
      <c r="F4" s="2">
        <v>9926198.1102255601</v>
      </c>
      <c r="G4" s="2"/>
      <c r="H4" s="2"/>
      <c r="I4" s="2"/>
      <c r="J4" s="4">
        <v>-2.9600000000000009</v>
      </c>
      <c r="K4" s="2"/>
    </row>
    <row r="5" spans="1:11" x14ac:dyDescent="0.2">
      <c r="A5" s="1" t="s">
        <v>4</v>
      </c>
      <c r="B5" s="1" t="str">
        <f t="shared" si="0"/>
        <v>1995</v>
      </c>
      <c r="C5" s="1" t="str">
        <f t="shared" si="1"/>
        <v>4</v>
      </c>
      <c r="D5">
        <v>6254741.9047613302</v>
      </c>
      <c r="E5">
        <v>1639641.1051761</v>
      </c>
      <c r="F5" s="2">
        <v>10111606.3674319</v>
      </c>
      <c r="G5" s="2"/>
      <c r="H5" s="2"/>
      <c r="I5" s="2"/>
      <c r="J5" s="4">
        <v>1.769999999999996</v>
      </c>
      <c r="K5" s="2"/>
    </row>
    <row r="6" spans="1:11" x14ac:dyDescent="0.2">
      <c r="A6" s="1" t="s">
        <v>5</v>
      </c>
      <c r="B6" s="1" t="str">
        <f t="shared" si="0"/>
        <v>1996</v>
      </c>
      <c r="C6" s="1" t="str">
        <f t="shared" si="1"/>
        <v>1</v>
      </c>
      <c r="D6">
        <v>6392447.0549855204</v>
      </c>
      <c r="E6">
        <v>1715440.7956226601</v>
      </c>
      <c r="F6" s="2">
        <v>10375680.7493496</v>
      </c>
      <c r="G6" s="2">
        <f>(D6-D2)/ABS(D2)</f>
        <v>1.1110211297282617E-2</v>
      </c>
      <c r="H6" s="2">
        <f>(E6-E2)/ABS(E2)</f>
        <v>2.3271196613705643E-2</v>
      </c>
      <c r="I6" s="2">
        <f>(F6-F2)/ABS(F2)</f>
        <v>1.391021681071114E-2</v>
      </c>
      <c r="J6" s="4">
        <v>-6.2400000000000091</v>
      </c>
      <c r="K6" s="2">
        <f>(J6-J2)/ABS(J2)</f>
        <v>-1.0837696335078535</v>
      </c>
    </row>
    <row r="7" spans="1:11" x14ac:dyDescent="0.2">
      <c r="A7" s="1" t="s">
        <v>6</v>
      </c>
      <c r="B7" s="1" t="str">
        <f t="shared" ref="B7:B70" si="2">LEFT(A7,4)</f>
        <v>1996</v>
      </c>
      <c r="C7" s="1" t="str">
        <f t="shared" ref="C7:C70" si="3">RIGHT(A7,1)</f>
        <v>2</v>
      </c>
      <c r="D7">
        <v>6422349.8033699002</v>
      </c>
      <c r="E7">
        <v>1813990.5386144</v>
      </c>
      <c r="F7" s="2">
        <v>10519640.2599185</v>
      </c>
      <c r="G7" s="2">
        <f t="shared" ref="G7:G70" si="4">(D7-D3)/ABS(D3)</f>
        <v>3.5958552145906951E-2</v>
      </c>
      <c r="H7" s="2">
        <f t="shared" ref="H7:H70" si="5">(E7-E3)/ABS(E3)</f>
        <v>0.22823103756534613</v>
      </c>
      <c r="I7" s="2">
        <f t="shared" ref="I7:I70" si="6">(F7-F3)/ABS(F3)</f>
        <v>8.0421156289619863E-2</v>
      </c>
      <c r="J7" s="4">
        <v>-1.8499999999999943</v>
      </c>
      <c r="K7" s="2">
        <f t="shared" ref="K7:K70" si="7">(J7-J3)/ABS(J3)</f>
        <v>-1.0590991374720475</v>
      </c>
    </row>
    <row r="8" spans="1:11" x14ac:dyDescent="0.2">
      <c r="A8" s="1" t="s">
        <v>7</v>
      </c>
      <c r="B8" s="1" t="str">
        <f t="shared" si="2"/>
        <v>1996</v>
      </c>
      <c r="C8" s="1" t="str">
        <f t="shared" si="3"/>
        <v>3</v>
      </c>
      <c r="D8">
        <v>6556934.1638089698</v>
      </c>
      <c r="E8">
        <v>1940305.7805159399</v>
      </c>
      <c r="F8" s="2">
        <v>10703416.393335599</v>
      </c>
      <c r="G8" s="2">
        <f t="shared" si="4"/>
        <v>4.8315410749781094E-2</v>
      </c>
      <c r="H8" s="2">
        <f t="shared" si="5"/>
        <v>0.29098294240134986</v>
      </c>
      <c r="I8" s="2">
        <f t="shared" si="6"/>
        <v>7.8299694855916799E-2</v>
      </c>
      <c r="J8" s="4">
        <v>-0.65333333333333243</v>
      </c>
      <c r="K8" s="2">
        <f t="shared" si="7"/>
        <v>0.77927927927927965</v>
      </c>
    </row>
    <row r="9" spans="1:11" x14ac:dyDescent="0.2">
      <c r="A9" s="1" t="s">
        <v>8</v>
      </c>
      <c r="B9" s="1" t="str">
        <f t="shared" si="2"/>
        <v>1996</v>
      </c>
      <c r="C9" s="1" t="str">
        <f t="shared" si="3"/>
        <v>4</v>
      </c>
      <c r="D9">
        <v>6735328.9864248401</v>
      </c>
      <c r="E9">
        <v>2058477.42428579</v>
      </c>
      <c r="F9" s="2">
        <v>11019520.643570101</v>
      </c>
      <c r="G9" s="2">
        <f t="shared" si="4"/>
        <v>7.6835637502111795E-2</v>
      </c>
      <c r="H9" s="2">
        <f t="shared" si="5"/>
        <v>0.25544390036788339</v>
      </c>
      <c r="I9" s="2">
        <f t="shared" si="6"/>
        <v>8.9789321611892348E-2</v>
      </c>
      <c r="J9" s="4">
        <v>2.1466666666666683</v>
      </c>
      <c r="K9" s="2">
        <f t="shared" si="7"/>
        <v>0.21280602636535204</v>
      </c>
    </row>
    <row r="10" spans="1:11" x14ac:dyDescent="0.2">
      <c r="A10" s="1" t="s">
        <v>9</v>
      </c>
      <c r="B10" s="1" t="str">
        <f t="shared" si="2"/>
        <v>1997</v>
      </c>
      <c r="C10" s="1" t="str">
        <f t="shared" si="3"/>
        <v>1</v>
      </c>
      <c r="D10">
        <v>6791500.7964186901</v>
      </c>
      <c r="E10">
        <v>2002152.22427387</v>
      </c>
      <c r="F10" s="2">
        <v>11035080.101815701</v>
      </c>
      <c r="G10" s="2">
        <f t="shared" si="4"/>
        <v>6.2425818782800006E-2</v>
      </c>
      <c r="H10" s="2">
        <f t="shared" si="5"/>
        <v>0.16713571776001818</v>
      </c>
      <c r="I10" s="2">
        <f t="shared" si="6"/>
        <v>6.3552394141216745E-2</v>
      </c>
      <c r="J10" s="4">
        <v>-1.5066666666666677</v>
      </c>
      <c r="K10" s="2">
        <f t="shared" si="7"/>
        <v>0.75854700854700874</v>
      </c>
    </row>
    <row r="11" spans="1:11" x14ac:dyDescent="0.2">
      <c r="A11" s="1" t="s">
        <v>10</v>
      </c>
      <c r="B11" s="1" t="str">
        <f t="shared" si="2"/>
        <v>1997</v>
      </c>
      <c r="C11" s="1" t="str">
        <f t="shared" si="3"/>
        <v>2</v>
      </c>
      <c r="D11">
        <v>6974031.1208458003</v>
      </c>
      <c r="E11">
        <v>2144772.2973212702</v>
      </c>
      <c r="F11" s="2">
        <v>11291540.005313</v>
      </c>
      <c r="G11" s="2">
        <f t="shared" si="4"/>
        <v>8.5900228789535085E-2</v>
      </c>
      <c r="H11" s="2">
        <f t="shared" si="5"/>
        <v>0.18235032193692413</v>
      </c>
      <c r="I11" s="2">
        <f t="shared" si="6"/>
        <v>7.3377009700185333E-2</v>
      </c>
      <c r="J11" s="4">
        <v>1.0833333333333321</v>
      </c>
      <c r="K11" s="2">
        <f t="shared" si="7"/>
        <v>1.5855855855855867</v>
      </c>
    </row>
    <row r="12" spans="1:11" x14ac:dyDescent="0.2">
      <c r="A12" s="1" t="s">
        <v>11</v>
      </c>
      <c r="B12" s="1" t="str">
        <f t="shared" si="2"/>
        <v>1997</v>
      </c>
      <c r="C12" s="1" t="str">
        <f t="shared" si="3"/>
        <v>3</v>
      </c>
      <c r="D12">
        <v>7077092.9552469403</v>
      </c>
      <c r="E12">
        <v>2241433.4694271199</v>
      </c>
      <c r="F12" s="2">
        <v>11512856.669469699</v>
      </c>
      <c r="G12" s="2">
        <f t="shared" si="4"/>
        <v>7.9329573615210217E-2</v>
      </c>
      <c r="H12" s="2">
        <f t="shared" si="5"/>
        <v>0.15519599639140805</v>
      </c>
      <c r="I12" s="2">
        <f t="shared" si="6"/>
        <v>7.5624477866533493E-2</v>
      </c>
      <c r="J12" s="4">
        <v>1.2433333333333323</v>
      </c>
      <c r="K12" s="2">
        <f t="shared" si="7"/>
        <v>2.9030612244897971</v>
      </c>
    </row>
    <row r="13" spans="1:11" x14ac:dyDescent="0.2">
      <c r="A13" s="1" t="s">
        <v>12</v>
      </c>
      <c r="B13" s="1" t="str">
        <f t="shared" si="2"/>
        <v>1997</v>
      </c>
      <c r="C13" s="1" t="str">
        <f t="shared" si="3"/>
        <v>4</v>
      </c>
      <c r="D13">
        <v>7262085.5136260204</v>
      </c>
      <c r="E13">
        <v>2290276.58624548</v>
      </c>
      <c r="F13" s="2">
        <v>11791252.777432701</v>
      </c>
      <c r="G13" s="2">
        <f t="shared" si="4"/>
        <v>7.8207987800279141E-2</v>
      </c>
      <c r="H13" s="2">
        <f t="shared" si="5"/>
        <v>0.11260709455684954</v>
      </c>
      <c r="I13" s="2">
        <f t="shared" si="6"/>
        <v>7.0033185546315574E-2</v>
      </c>
      <c r="J13" s="4">
        <v>3.5400000000000027</v>
      </c>
      <c r="K13" s="2">
        <f t="shared" si="7"/>
        <v>0.64906832298136652</v>
      </c>
    </row>
    <row r="14" spans="1:11" x14ac:dyDescent="0.2">
      <c r="A14" s="1" t="s">
        <v>13</v>
      </c>
      <c r="B14" s="1" t="str">
        <f t="shared" si="2"/>
        <v>1998</v>
      </c>
      <c r="C14" s="1" t="str">
        <f t="shared" si="3"/>
        <v>1</v>
      </c>
      <c r="D14">
        <v>7366094.2196404999</v>
      </c>
      <c r="E14">
        <v>2334762.2517415402</v>
      </c>
      <c r="F14" s="2">
        <v>11898700.7677732</v>
      </c>
      <c r="G14" s="2">
        <f t="shared" si="4"/>
        <v>8.4604778891405816E-2</v>
      </c>
      <c r="H14" s="2">
        <f t="shared" si="5"/>
        <v>0.16612624326719183</v>
      </c>
      <c r="I14" s="2">
        <f t="shared" si="6"/>
        <v>7.8261386232746977E-2</v>
      </c>
      <c r="J14" s="4">
        <v>5.3533333333333353</v>
      </c>
      <c r="K14" s="2">
        <f t="shared" si="7"/>
        <v>4.5530973451327421</v>
      </c>
    </row>
    <row r="15" spans="1:11" x14ac:dyDescent="0.2">
      <c r="A15" s="1" t="s">
        <v>14</v>
      </c>
      <c r="B15" s="1" t="str">
        <f t="shared" si="2"/>
        <v>1998</v>
      </c>
      <c r="C15" s="1" t="str">
        <f t="shared" si="3"/>
        <v>2</v>
      </c>
      <c r="D15">
        <v>7481833.6508001396</v>
      </c>
      <c r="E15">
        <v>2391070.9030595599</v>
      </c>
      <c r="F15" s="2">
        <v>11990744.0793678</v>
      </c>
      <c r="G15" s="2">
        <f t="shared" si="4"/>
        <v>7.2813344413747594E-2</v>
      </c>
      <c r="H15" s="2">
        <f t="shared" si="5"/>
        <v>0.11483671532213754</v>
      </c>
      <c r="I15" s="2">
        <f t="shared" si="6"/>
        <v>6.1922826622923359E-2</v>
      </c>
      <c r="J15" s="4">
        <v>5.5133333333333336</v>
      </c>
      <c r="K15" s="2">
        <f t="shared" si="7"/>
        <v>4.0892307692307748</v>
      </c>
    </row>
    <row r="16" spans="1:11" x14ac:dyDescent="0.2">
      <c r="A16" s="1" t="s">
        <v>15</v>
      </c>
      <c r="B16" s="1" t="str">
        <f t="shared" si="2"/>
        <v>1998</v>
      </c>
      <c r="C16" s="1" t="str">
        <f t="shared" si="3"/>
        <v>3</v>
      </c>
      <c r="D16">
        <v>7527196.0391067602</v>
      </c>
      <c r="E16">
        <v>2430488.79851329</v>
      </c>
      <c r="F16" s="2">
        <v>12045391.7429775</v>
      </c>
      <c r="G16" s="2">
        <f t="shared" si="4"/>
        <v>6.3599996030307124E-2</v>
      </c>
      <c r="H16" s="2">
        <f t="shared" si="5"/>
        <v>8.4345724138084749E-2</v>
      </c>
      <c r="I16" s="2">
        <f t="shared" si="6"/>
        <v>4.6255685169780729E-2</v>
      </c>
      <c r="J16" s="4">
        <v>14.289999999999996</v>
      </c>
      <c r="K16" s="2">
        <f t="shared" si="7"/>
        <v>10.493297587131373</v>
      </c>
    </row>
    <row r="17" spans="1:11" x14ac:dyDescent="0.2">
      <c r="A17" s="1" t="s">
        <v>16</v>
      </c>
      <c r="B17" s="1" t="str">
        <f t="shared" si="2"/>
        <v>1998</v>
      </c>
      <c r="C17" s="1" t="str">
        <f t="shared" si="3"/>
        <v>4</v>
      </c>
      <c r="D17">
        <v>7542410.9962619999</v>
      </c>
      <c r="E17">
        <v>2436353.1048828298</v>
      </c>
      <c r="F17" s="2">
        <v>12064077.3907385</v>
      </c>
      <c r="G17" s="2">
        <f t="shared" si="4"/>
        <v>3.8601236808627259E-2</v>
      </c>
      <c r="H17" s="2">
        <f t="shared" si="5"/>
        <v>6.3781169276509744E-2</v>
      </c>
      <c r="I17" s="2">
        <f t="shared" si="6"/>
        <v>2.3137881822698193E-2</v>
      </c>
      <c r="J17" s="4">
        <v>18.816666666666666</v>
      </c>
      <c r="K17" s="2">
        <f t="shared" si="7"/>
        <v>4.3154425612052689</v>
      </c>
    </row>
    <row r="18" spans="1:11" x14ac:dyDescent="0.2">
      <c r="A18" s="1" t="s">
        <v>17</v>
      </c>
      <c r="B18" s="1" t="str">
        <f t="shared" si="2"/>
        <v>1999</v>
      </c>
      <c r="C18" s="1" t="str">
        <f t="shared" si="3"/>
        <v>1</v>
      </c>
      <c r="D18">
        <v>7713443.2251816001</v>
      </c>
      <c r="E18">
        <v>2514989.5667374302</v>
      </c>
      <c r="F18" s="2">
        <v>12190790.9128037</v>
      </c>
      <c r="G18" s="2">
        <f t="shared" si="4"/>
        <v>4.7155113033301985E-2</v>
      </c>
      <c r="H18" s="2">
        <f t="shared" si="5"/>
        <v>7.7193005352667196E-2</v>
      </c>
      <c r="I18" s="2">
        <f t="shared" si="6"/>
        <v>2.4548070476871402E-2</v>
      </c>
      <c r="J18" s="4">
        <v>13.019999999999996</v>
      </c>
      <c r="K18" s="2">
        <f t="shared" si="7"/>
        <v>1.4321295143212935</v>
      </c>
    </row>
    <row r="19" spans="1:11" x14ac:dyDescent="0.2">
      <c r="A19" s="1" t="s">
        <v>18</v>
      </c>
      <c r="B19" s="1" t="str">
        <f t="shared" si="2"/>
        <v>1999</v>
      </c>
      <c r="C19" s="1" t="str">
        <f t="shared" si="3"/>
        <v>2</v>
      </c>
      <c r="D19">
        <v>7768222.7706413902</v>
      </c>
      <c r="E19">
        <v>2516050.3539636801</v>
      </c>
      <c r="F19" s="2">
        <v>12265548.971126201</v>
      </c>
      <c r="G19" s="2">
        <f t="shared" si="4"/>
        <v>3.8277932016120529E-2</v>
      </c>
      <c r="H19" s="2">
        <f t="shared" si="5"/>
        <v>5.2269236660527033E-2</v>
      </c>
      <c r="I19" s="2">
        <f t="shared" si="6"/>
        <v>2.291808497783315E-2</v>
      </c>
      <c r="J19" s="4">
        <v>5.009999999999998</v>
      </c>
      <c r="K19" s="2">
        <f t="shared" si="7"/>
        <v>-9.1293833131802102E-2</v>
      </c>
    </row>
    <row r="20" spans="1:11" x14ac:dyDescent="0.2">
      <c r="A20" s="1" t="s">
        <v>19</v>
      </c>
      <c r="B20" s="1" t="str">
        <f t="shared" si="2"/>
        <v>1999</v>
      </c>
      <c r="C20" s="1" t="str">
        <f t="shared" si="3"/>
        <v>3</v>
      </c>
      <c r="D20">
        <v>7909193.7868871903</v>
      </c>
      <c r="E20">
        <v>2520677.43542061</v>
      </c>
      <c r="F20" s="2">
        <v>12365276.4271957</v>
      </c>
      <c r="G20" s="2">
        <f t="shared" si="4"/>
        <v>5.0749010095631993E-2</v>
      </c>
      <c r="H20" s="2">
        <f t="shared" si="5"/>
        <v>3.7107201219148858E-2</v>
      </c>
      <c r="I20" s="2">
        <f t="shared" si="6"/>
        <v>2.6556602810754882E-2</v>
      </c>
      <c r="J20" s="4">
        <v>5.9433333333333351</v>
      </c>
      <c r="K20" s="2">
        <f t="shared" si="7"/>
        <v>-0.58409143923489593</v>
      </c>
    </row>
    <row r="21" spans="1:11" x14ac:dyDescent="0.2">
      <c r="A21" s="1" t="s">
        <v>20</v>
      </c>
      <c r="B21" s="1" t="str">
        <f t="shared" si="2"/>
        <v>1999</v>
      </c>
      <c r="C21" s="1" t="str">
        <f t="shared" si="3"/>
        <v>4</v>
      </c>
      <c r="D21">
        <v>7970926.5530095296</v>
      </c>
      <c r="E21">
        <v>2570020.42848993</v>
      </c>
      <c r="F21" s="2">
        <v>12493600.3260761</v>
      </c>
      <c r="G21" s="2">
        <f t="shared" si="4"/>
        <v>5.6814135023920187E-2</v>
      </c>
      <c r="H21" s="2">
        <f t="shared" si="5"/>
        <v>5.4863690874368785E-2</v>
      </c>
      <c r="I21" s="2">
        <f t="shared" si="6"/>
        <v>3.5603463192911945E-2</v>
      </c>
      <c r="J21" s="4">
        <v>5.7466666666666679</v>
      </c>
      <c r="K21" s="2">
        <f t="shared" si="7"/>
        <v>-0.6945969884853852</v>
      </c>
    </row>
    <row r="22" spans="1:11" x14ac:dyDescent="0.2">
      <c r="A22" s="1" t="s">
        <v>21</v>
      </c>
      <c r="B22" s="1" t="str">
        <f t="shared" si="2"/>
        <v>2000</v>
      </c>
      <c r="C22" s="1" t="str">
        <f t="shared" si="3"/>
        <v>1</v>
      </c>
      <c r="D22">
        <v>8155775.9676814703</v>
      </c>
      <c r="E22">
        <v>2656022.6687962702</v>
      </c>
      <c r="F22" s="2">
        <v>12733771.980213</v>
      </c>
      <c r="G22" s="2">
        <f t="shared" si="4"/>
        <v>5.7345692395299408E-2</v>
      </c>
      <c r="H22" s="2">
        <f t="shared" si="5"/>
        <v>5.6077012773375103E-2</v>
      </c>
      <c r="I22" s="2">
        <f t="shared" si="6"/>
        <v>4.4540265786940786E-2</v>
      </c>
      <c r="J22" s="4">
        <v>6.9399999999999995</v>
      </c>
      <c r="K22" s="2">
        <f t="shared" si="7"/>
        <v>-0.46697388632872494</v>
      </c>
    </row>
    <row r="23" spans="1:11" x14ac:dyDescent="0.2">
      <c r="A23" s="1" t="s">
        <v>22</v>
      </c>
      <c r="B23" s="1" t="str">
        <f t="shared" si="2"/>
        <v>2000</v>
      </c>
      <c r="C23" s="1" t="str">
        <f t="shared" si="3"/>
        <v>2</v>
      </c>
      <c r="D23">
        <v>8330329.1269345405</v>
      </c>
      <c r="E23">
        <v>2693686.8289988199</v>
      </c>
      <c r="F23" s="2">
        <v>12928542.7583331</v>
      </c>
      <c r="G23" s="2">
        <f t="shared" si="4"/>
        <v>7.2359711209303984E-2</v>
      </c>
      <c r="H23" s="2">
        <f t="shared" si="5"/>
        <v>7.0601319546446592E-2</v>
      </c>
      <c r="I23" s="2">
        <f t="shared" si="6"/>
        <v>5.4053331715329209E-2</v>
      </c>
      <c r="J23" s="4">
        <v>6.4933333333333341</v>
      </c>
      <c r="K23" s="2">
        <f t="shared" si="7"/>
        <v>0.29607451763140452</v>
      </c>
    </row>
    <row r="24" spans="1:11" x14ac:dyDescent="0.2">
      <c r="A24" s="1" t="s">
        <v>23</v>
      </c>
      <c r="B24" s="1" t="str">
        <f t="shared" si="2"/>
        <v>2000</v>
      </c>
      <c r="C24" s="1" t="str">
        <f t="shared" si="3"/>
        <v>3</v>
      </c>
      <c r="D24">
        <v>8476947.3965903595</v>
      </c>
      <c r="E24">
        <v>2682480.0604403801</v>
      </c>
      <c r="F24" s="2">
        <v>13028995.3636481</v>
      </c>
      <c r="G24" s="2">
        <f t="shared" si="4"/>
        <v>7.1784005424732317E-2</v>
      </c>
      <c r="H24" s="2">
        <f t="shared" si="5"/>
        <v>6.4190135058979136E-2</v>
      </c>
      <c r="I24" s="2">
        <f t="shared" si="6"/>
        <v>5.3676029028566052E-2</v>
      </c>
      <c r="J24" s="4">
        <v>7.1499999999999986</v>
      </c>
      <c r="K24" s="2">
        <f t="shared" si="7"/>
        <v>0.20302860347728488</v>
      </c>
    </row>
    <row r="25" spans="1:11" x14ac:dyDescent="0.2">
      <c r="A25" s="1" t="s">
        <v>24</v>
      </c>
      <c r="B25" s="1" t="str">
        <f t="shared" si="2"/>
        <v>2000</v>
      </c>
      <c r="C25" s="1" t="str">
        <f t="shared" si="3"/>
        <v>4</v>
      </c>
      <c r="D25">
        <v>8569607.9930837899</v>
      </c>
      <c r="E25">
        <v>2618784.1833382598</v>
      </c>
      <c r="F25" s="2">
        <v>12942299.157580201</v>
      </c>
      <c r="G25" s="2">
        <f t="shared" si="4"/>
        <v>7.5108136562645936E-2</v>
      </c>
      <c r="H25" s="2">
        <f t="shared" si="5"/>
        <v>1.8974072854736797E-2</v>
      </c>
      <c r="I25" s="2">
        <f t="shared" si="6"/>
        <v>3.5914293701839989E-2</v>
      </c>
      <c r="J25" s="4">
        <v>9.2233333333333327</v>
      </c>
      <c r="K25" s="2">
        <f t="shared" si="7"/>
        <v>0.60498839907192525</v>
      </c>
    </row>
    <row r="26" spans="1:11" x14ac:dyDescent="0.2">
      <c r="A26" s="1" t="s">
        <v>25</v>
      </c>
      <c r="B26" s="1" t="str">
        <f t="shared" si="2"/>
        <v>2001</v>
      </c>
      <c r="C26" s="1" t="str">
        <f t="shared" si="3"/>
        <v>1</v>
      </c>
      <c r="D26">
        <v>8573781.0502340905</v>
      </c>
      <c r="E26">
        <v>2511030.7791418498</v>
      </c>
      <c r="F26" s="2">
        <v>12951817.556270299</v>
      </c>
      <c r="G26" s="2">
        <f t="shared" si="4"/>
        <v>5.1252644041355516E-2</v>
      </c>
      <c r="H26" s="2">
        <f t="shared" si="5"/>
        <v>-5.4589853978969143E-2</v>
      </c>
      <c r="I26" s="2">
        <f t="shared" si="6"/>
        <v>1.7123408240395765E-2</v>
      </c>
      <c r="J26" s="4">
        <v>10.55</v>
      </c>
      <c r="K26" s="2">
        <f t="shared" si="7"/>
        <v>0.52017291066282445</v>
      </c>
    </row>
    <row r="27" spans="1:11" x14ac:dyDescent="0.2">
      <c r="A27" s="1" t="s">
        <v>26</v>
      </c>
      <c r="B27" s="1" t="str">
        <f t="shared" si="2"/>
        <v>2001</v>
      </c>
      <c r="C27" s="1" t="str">
        <f t="shared" si="3"/>
        <v>2</v>
      </c>
      <c r="D27">
        <v>8586744.1990759708</v>
      </c>
      <c r="E27">
        <v>2428697.2324183802</v>
      </c>
      <c r="F27" s="2">
        <v>12879983.3331112</v>
      </c>
      <c r="G27" s="2">
        <f t="shared" si="4"/>
        <v>3.0780905320098435E-2</v>
      </c>
      <c r="H27" s="2">
        <f t="shared" si="5"/>
        <v>-9.8374314982610692E-2</v>
      </c>
      <c r="I27" s="2">
        <f t="shared" si="6"/>
        <v>-3.7559859707004114E-3</v>
      </c>
      <c r="J27" s="4">
        <v>7.1533333333333333</v>
      </c>
      <c r="K27" s="2">
        <f t="shared" si="7"/>
        <v>0.10164271047227913</v>
      </c>
    </row>
    <row r="28" spans="1:11" x14ac:dyDescent="0.2">
      <c r="A28" s="1" t="s">
        <v>27</v>
      </c>
      <c r="B28" s="1" t="str">
        <f t="shared" si="2"/>
        <v>2001</v>
      </c>
      <c r="C28" s="1" t="str">
        <f t="shared" si="3"/>
        <v>3</v>
      </c>
      <c r="D28">
        <v>8610182.9264827501</v>
      </c>
      <c r="E28">
        <v>2484807.5655930201</v>
      </c>
      <c r="F28" s="2">
        <v>12883110.9350201</v>
      </c>
      <c r="G28" s="2">
        <f t="shared" si="4"/>
        <v>1.5717394913407304E-2</v>
      </c>
      <c r="H28" s="2">
        <f t="shared" si="5"/>
        <v>-7.3690201005597922E-2</v>
      </c>
      <c r="I28" s="2">
        <f t="shared" si="6"/>
        <v>-1.1196905406461982E-2</v>
      </c>
      <c r="J28" s="4">
        <v>4.4633333333333338</v>
      </c>
      <c r="K28" s="2">
        <f t="shared" si="7"/>
        <v>-0.37575757575757557</v>
      </c>
    </row>
    <row r="29" spans="1:11" x14ac:dyDescent="0.2">
      <c r="A29" s="1" t="s">
        <v>28</v>
      </c>
      <c r="B29" s="1" t="str">
        <f t="shared" si="2"/>
        <v>2001</v>
      </c>
      <c r="C29" s="1" t="str">
        <f t="shared" si="3"/>
        <v>4</v>
      </c>
      <c r="D29">
        <v>8672772.4445971604</v>
      </c>
      <c r="E29">
        <v>2453686.62613142</v>
      </c>
      <c r="F29" s="2">
        <v>12822553.854417499</v>
      </c>
      <c r="G29" s="2">
        <f t="shared" si="4"/>
        <v>1.2038409644482067E-2</v>
      </c>
      <c r="H29" s="2">
        <f t="shared" si="5"/>
        <v>-6.3043590326097021E-2</v>
      </c>
      <c r="I29" s="2">
        <f t="shared" si="6"/>
        <v>-9.2522434928084298E-3</v>
      </c>
      <c r="J29" s="4">
        <v>3.8333333333333339</v>
      </c>
      <c r="K29" s="2">
        <f t="shared" si="7"/>
        <v>-0.58438742320202375</v>
      </c>
    </row>
    <row r="30" spans="1:11" x14ac:dyDescent="0.2">
      <c r="A30" s="1" t="s">
        <v>29</v>
      </c>
      <c r="B30" s="1" t="str">
        <f t="shared" si="2"/>
        <v>2002</v>
      </c>
      <c r="C30" s="1" t="str">
        <f t="shared" si="3"/>
        <v>1</v>
      </c>
      <c r="D30">
        <v>8696489.1992740203</v>
      </c>
      <c r="E30">
        <v>2386602.0507493299</v>
      </c>
      <c r="F30" s="2">
        <v>12739173.9432266</v>
      </c>
      <c r="G30" s="2">
        <f t="shared" si="4"/>
        <v>1.4312022702816679E-2</v>
      </c>
      <c r="H30" s="2">
        <f t="shared" si="5"/>
        <v>-4.9552848744866353E-2</v>
      </c>
      <c r="I30" s="2">
        <f t="shared" si="6"/>
        <v>-1.6418051915868235E-2</v>
      </c>
      <c r="J30" s="4">
        <v>3.7299999999999995</v>
      </c>
      <c r="K30" s="2">
        <f t="shared" si="7"/>
        <v>-0.64644549763033177</v>
      </c>
    </row>
    <row r="31" spans="1:11" x14ac:dyDescent="0.2">
      <c r="A31" s="1" t="s">
        <v>30</v>
      </c>
      <c r="B31" s="1" t="str">
        <f t="shared" si="2"/>
        <v>2002</v>
      </c>
      <c r="C31" s="1" t="str">
        <f t="shared" si="3"/>
        <v>2</v>
      </c>
      <c r="D31">
        <v>8783757.3768819999</v>
      </c>
      <c r="E31">
        <v>2406519.4968038299</v>
      </c>
      <c r="F31" s="2">
        <v>12851471.641279999</v>
      </c>
      <c r="G31" s="2">
        <f t="shared" si="4"/>
        <v>2.2943874096916724E-2</v>
      </c>
      <c r="H31" s="2">
        <f t="shared" si="5"/>
        <v>-9.1315357544450998E-3</v>
      </c>
      <c r="I31" s="2">
        <f t="shared" si="6"/>
        <v>-2.2136435346080704E-3</v>
      </c>
      <c r="J31" s="4">
        <v>2.8933333333333335</v>
      </c>
      <c r="K31" s="2">
        <f t="shared" si="7"/>
        <v>-0.59552656104380242</v>
      </c>
    </row>
    <row r="32" spans="1:11" x14ac:dyDescent="0.2">
      <c r="A32" s="1" t="s">
        <v>31</v>
      </c>
      <c r="B32" s="1" t="str">
        <f t="shared" si="2"/>
        <v>2002</v>
      </c>
      <c r="C32" s="1" t="str">
        <f t="shared" si="3"/>
        <v>3</v>
      </c>
      <c r="D32">
        <v>8791981.7778638992</v>
      </c>
      <c r="E32">
        <v>2436265.7166156201</v>
      </c>
      <c r="F32" s="2">
        <v>12941125.3503424</v>
      </c>
      <c r="G32" s="2">
        <f t="shared" si="4"/>
        <v>2.1114400580501229E-2</v>
      </c>
      <c r="H32" s="2">
        <f t="shared" si="5"/>
        <v>-1.953545604478835E-2</v>
      </c>
      <c r="I32" s="2">
        <f t="shared" si="6"/>
        <v>4.503137139384536E-3</v>
      </c>
      <c r="J32" s="4">
        <v>2.8566666666666674</v>
      </c>
      <c r="K32" s="2">
        <f t="shared" si="7"/>
        <v>-0.35997012696041814</v>
      </c>
    </row>
    <row r="33" spans="1:11" x14ac:dyDescent="0.2">
      <c r="A33" s="1" t="s">
        <v>32</v>
      </c>
      <c r="B33" s="1" t="str">
        <f t="shared" si="2"/>
        <v>2002</v>
      </c>
      <c r="C33" s="1" t="str">
        <f t="shared" si="3"/>
        <v>4</v>
      </c>
      <c r="D33">
        <v>8752839.0808828697</v>
      </c>
      <c r="E33">
        <v>2433221.2589729298</v>
      </c>
      <c r="F33" s="2">
        <v>12981387.026618401</v>
      </c>
      <c r="G33" s="2">
        <f t="shared" si="4"/>
        <v>9.2319540028503785E-3</v>
      </c>
      <c r="H33" s="2">
        <f t="shared" si="5"/>
        <v>-8.3406605148909109E-3</v>
      </c>
      <c r="I33" s="2">
        <f t="shared" si="6"/>
        <v>1.2387015410832671E-2</v>
      </c>
      <c r="J33" s="4">
        <v>3.0766666666666662</v>
      </c>
      <c r="K33" s="2">
        <f t="shared" si="7"/>
        <v>-0.19739130434782634</v>
      </c>
    </row>
    <row r="34" spans="1:11" x14ac:dyDescent="0.2">
      <c r="A34" s="1" t="s">
        <v>33</v>
      </c>
      <c r="B34" s="1" t="str">
        <f t="shared" si="2"/>
        <v>2003</v>
      </c>
      <c r="C34" s="1" t="str">
        <f t="shared" si="3"/>
        <v>1</v>
      </c>
      <c r="D34">
        <v>8897515.0864392705</v>
      </c>
      <c r="E34">
        <v>2448133.3847541399</v>
      </c>
      <c r="F34" s="2">
        <v>13009322.4274766</v>
      </c>
      <c r="G34" s="2">
        <f t="shared" si="4"/>
        <v>2.3115751949882468E-2</v>
      </c>
      <c r="H34" s="2">
        <f t="shared" si="5"/>
        <v>2.5781983211441081E-2</v>
      </c>
      <c r="I34" s="2">
        <f t="shared" si="6"/>
        <v>2.1206122583296485E-2</v>
      </c>
      <c r="J34" s="4">
        <v>4.2299999999999995</v>
      </c>
      <c r="K34" s="2">
        <f t="shared" si="7"/>
        <v>0.13404825737265416</v>
      </c>
    </row>
    <row r="35" spans="1:11" x14ac:dyDescent="0.2">
      <c r="A35" s="1" t="s">
        <v>34</v>
      </c>
      <c r="B35" s="1" t="str">
        <f t="shared" si="2"/>
        <v>2003</v>
      </c>
      <c r="C35" s="1" t="str">
        <f t="shared" si="3"/>
        <v>2</v>
      </c>
      <c r="D35">
        <v>8889624.0391592998</v>
      </c>
      <c r="E35">
        <v>2447357.60757891</v>
      </c>
      <c r="F35" s="2">
        <v>13041761.948266299</v>
      </c>
      <c r="G35" s="2">
        <f t="shared" si="4"/>
        <v>1.2052548554668726E-2</v>
      </c>
      <c r="H35" s="2">
        <f t="shared" si="5"/>
        <v>1.6969781807011475E-2</v>
      </c>
      <c r="I35" s="2">
        <f t="shared" si="6"/>
        <v>1.4806888448095853E-2</v>
      </c>
      <c r="J35" s="4">
        <v>2.0233333333333334</v>
      </c>
      <c r="K35" s="2">
        <f t="shared" si="7"/>
        <v>-0.30069124423963134</v>
      </c>
    </row>
    <row r="36" spans="1:11" x14ac:dyDescent="0.2">
      <c r="A36" s="1" t="s">
        <v>35</v>
      </c>
      <c r="B36" s="1" t="str">
        <f t="shared" si="2"/>
        <v>2003</v>
      </c>
      <c r="C36" s="1" t="str">
        <f t="shared" si="3"/>
        <v>3</v>
      </c>
      <c r="D36">
        <v>8947816.8819095399</v>
      </c>
      <c r="E36">
        <v>2428652.2269522501</v>
      </c>
      <c r="F36" s="2">
        <v>13040655.5337731</v>
      </c>
      <c r="G36" s="2">
        <f t="shared" si="4"/>
        <v>1.7724684602736109E-2</v>
      </c>
      <c r="H36" s="2">
        <f t="shared" si="5"/>
        <v>-3.1250653865237499E-3</v>
      </c>
      <c r="I36" s="2">
        <f t="shared" si="6"/>
        <v>7.6909991006358829E-3</v>
      </c>
      <c r="J36" s="4">
        <v>1.0366666666666662</v>
      </c>
      <c r="K36" s="2">
        <f t="shared" si="7"/>
        <v>-0.63710618436406097</v>
      </c>
    </row>
    <row r="37" spans="1:11" x14ac:dyDescent="0.2">
      <c r="A37" s="1" t="s">
        <v>36</v>
      </c>
      <c r="B37" s="1" t="str">
        <f t="shared" si="2"/>
        <v>2003</v>
      </c>
      <c r="C37" s="1" t="str">
        <f t="shared" si="3"/>
        <v>4</v>
      </c>
      <c r="D37">
        <v>9075912.3688441999</v>
      </c>
      <c r="E37">
        <v>2438457.51027419</v>
      </c>
      <c r="F37" s="2">
        <v>13177251.7043426</v>
      </c>
      <c r="G37" s="2">
        <f t="shared" si="4"/>
        <v>3.6910685204639103E-2</v>
      </c>
      <c r="H37" s="2">
        <f t="shared" si="5"/>
        <v>2.1519832123571194E-3</v>
      </c>
      <c r="I37" s="2">
        <f t="shared" si="6"/>
        <v>1.50881163409255E-2</v>
      </c>
      <c r="J37" s="4">
        <v>1.8100000000000009</v>
      </c>
      <c r="K37" s="2">
        <f t="shared" si="7"/>
        <v>-0.41170097508125636</v>
      </c>
    </row>
    <row r="38" spans="1:11" x14ac:dyDescent="0.2">
      <c r="A38" s="1" t="s">
        <v>37</v>
      </c>
      <c r="B38" s="1" t="str">
        <f t="shared" si="2"/>
        <v>2004</v>
      </c>
      <c r="C38" s="1" t="str">
        <f t="shared" si="3"/>
        <v>1</v>
      </c>
      <c r="D38">
        <v>9149908.0960938707</v>
      </c>
      <c r="E38">
        <v>2562133.0050106798</v>
      </c>
      <c r="F38" s="2">
        <v>13355347.851385999</v>
      </c>
      <c r="G38" s="2">
        <f t="shared" si="4"/>
        <v>2.8366685215209481E-2</v>
      </c>
      <c r="H38" s="2">
        <f t="shared" si="5"/>
        <v>4.6565935077915947E-2</v>
      </c>
      <c r="I38" s="2">
        <f t="shared" si="6"/>
        <v>2.6598266423051346E-2</v>
      </c>
      <c r="J38" s="4">
        <v>1.5599999999999996</v>
      </c>
      <c r="K38" s="2">
        <f t="shared" si="7"/>
        <v>-0.63120567375886527</v>
      </c>
    </row>
    <row r="39" spans="1:11" x14ac:dyDescent="0.2">
      <c r="A39" s="1" t="s">
        <v>38</v>
      </c>
      <c r="B39" s="1" t="str">
        <f t="shared" si="2"/>
        <v>2004</v>
      </c>
      <c r="C39" s="1" t="str">
        <f t="shared" si="3"/>
        <v>2</v>
      </c>
      <c r="D39">
        <v>9304854.51031016</v>
      </c>
      <c r="E39">
        <v>2615286.72178593</v>
      </c>
      <c r="F39" s="2">
        <v>13570909.5563988</v>
      </c>
      <c r="G39" s="2">
        <f t="shared" si="4"/>
        <v>4.6709564917677769E-2</v>
      </c>
      <c r="H39" s="2">
        <f t="shared" si="5"/>
        <v>6.8616500378604964E-2</v>
      </c>
      <c r="I39" s="2">
        <f t="shared" si="6"/>
        <v>4.0573322088802745E-2</v>
      </c>
      <c r="J39" s="4">
        <v>2.4233333333333338</v>
      </c>
      <c r="K39" s="2">
        <f t="shared" si="7"/>
        <v>0.19769357495881401</v>
      </c>
    </row>
    <row r="40" spans="1:11" x14ac:dyDescent="0.2">
      <c r="A40" s="1" t="s">
        <v>39</v>
      </c>
      <c r="B40" s="1" t="str">
        <f t="shared" si="2"/>
        <v>2004</v>
      </c>
      <c r="C40" s="1" t="str">
        <f t="shared" si="3"/>
        <v>3</v>
      </c>
      <c r="D40">
        <v>9439442.1983000208</v>
      </c>
      <c r="E40">
        <v>2597113.6416265899</v>
      </c>
      <c r="F40" s="2">
        <v>13552040.8566071</v>
      </c>
      <c r="G40" s="2">
        <f t="shared" si="4"/>
        <v>5.4943605002068824E-2</v>
      </c>
      <c r="H40" s="2">
        <f t="shared" si="5"/>
        <v>6.9364157125841111E-2</v>
      </c>
      <c r="I40" s="2">
        <f t="shared" si="6"/>
        <v>3.9214694499797052E-2</v>
      </c>
      <c r="J40" s="4">
        <v>2.6733333333333338</v>
      </c>
      <c r="K40" s="2">
        <f t="shared" si="7"/>
        <v>1.5787781350482331</v>
      </c>
    </row>
    <row r="41" spans="1:11" x14ac:dyDescent="0.2">
      <c r="A41" s="1" t="s">
        <v>40</v>
      </c>
      <c r="B41" s="1" t="str">
        <f t="shared" si="2"/>
        <v>2004</v>
      </c>
      <c r="C41" s="1" t="str">
        <f t="shared" si="3"/>
        <v>4</v>
      </c>
      <c r="D41">
        <v>9552035.6566963494</v>
      </c>
      <c r="E41">
        <v>2669202.8397854101</v>
      </c>
      <c r="F41" s="2">
        <v>13718224.479824699</v>
      </c>
      <c r="G41" s="2">
        <f t="shared" si="4"/>
        <v>5.2460101916209097E-2</v>
      </c>
      <c r="H41" s="2">
        <f t="shared" si="5"/>
        <v>9.4627578515925903E-2</v>
      </c>
      <c r="I41" s="2">
        <f t="shared" si="6"/>
        <v>4.1053535867712113E-2</v>
      </c>
      <c r="J41" s="4">
        <v>3.1866666666666656</v>
      </c>
      <c r="K41" s="2">
        <f t="shared" si="7"/>
        <v>0.76058931860036683</v>
      </c>
    </row>
    <row r="42" spans="1:11" x14ac:dyDescent="0.2">
      <c r="A42" s="1" t="s">
        <v>41</v>
      </c>
      <c r="B42" s="1" t="str">
        <f t="shared" si="2"/>
        <v>2005</v>
      </c>
      <c r="C42" s="1" t="str">
        <f t="shared" si="3"/>
        <v>1</v>
      </c>
      <c r="D42">
        <v>9570837.1148747597</v>
      </c>
      <c r="E42">
        <v>2723259.6161541902</v>
      </c>
      <c r="F42" s="2">
        <v>13739829.364852499</v>
      </c>
      <c r="G42" s="2">
        <f t="shared" si="4"/>
        <v>4.600363351852519E-2</v>
      </c>
      <c r="H42" s="2">
        <f t="shared" si="5"/>
        <v>6.2887684139894484E-2</v>
      </c>
      <c r="I42" s="2">
        <f t="shared" si="6"/>
        <v>2.878858100476947E-2</v>
      </c>
      <c r="J42" s="4">
        <v>5.0066666666666668</v>
      </c>
      <c r="K42" s="2">
        <f t="shared" si="7"/>
        <v>2.2094017094017104</v>
      </c>
    </row>
    <row r="43" spans="1:11" x14ac:dyDescent="0.2">
      <c r="A43" s="1" t="s">
        <v>42</v>
      </c>
      <c r="B43" s="1" t="str">
        <f t="shared" si="2"/>
        <v>2005</v>
      </c>
      <c r="C43" s="1" t="str">
        <f t="shared" si="3"/>
        <v>2</v>
      </c>
      <c r="D43">
        <v>9575324.9577212799</v>
      </c>
      <c r="E43">
        <v>2722927.10609922</v>
      </c>
      <c r="F43" s="2">
        <v>13780012.591603201</v>
      </c>
      <c r="G43" s="2">
        <f t="shared" si="4"/>
        <v>2.9067670763839197E-2</v>
      </c>
      <c r="H43" s="2">
        <f t="shared" si="5"/>
        <v>4.1158158077514509E-2</v>
      </c>
      <c r="I43" s="2">
        <f t="shared" si="6"/>
        <v>1.5408181326048804E-2</v>
      </c>
      <c r="J43" s="4">
        <v>5.5366666666666671</v>
      </c>
      <c r="K43" s="2">
        <f t="shared" si="7"/>
        <v>1.2847317744154054</v>
      </c>
    </row>
    <row r="44" spans="1:11" x14ac:dyDescent="0.2">
      <c r="A44" s="1" t="s">
        <v>43</v>
      </c>
      <c r="B44" s="1" t="str">
        <f t="shared" si="2"/>
        <v>2005</v>
      </c>
      <c r="C44" s="1" t="str">
        <f t="shared" si="3"/>
        <v>3</v>
      </c>
      <c r="D44">
        <v>9694071.9873448592</v>
      </c>
      <c r="E44">
        <v>2768739.4281318998</v>
      </c>
      <c r="F44" s="2">
        <v>13908986.730756</v>
      </c>
      <c r="G44" s="2">
        <f t="shared" si="4"/>
        <v>2.6975088537614593E-2</v>
      </c>
      <c r="H44" s="2">
        <f t="shared" si="5"/>
        <v>6.6083279435481104E-2</v>
      </c>
      <c r="I44" s="2">
        <f t="shared" si="6"/>
        <v>2.6338901861772054E-2</v>
      </c>
      <c r="J44" s="4">
        <v>5.9033333333333342</v>
      </c>
      <c r="K44" s="2">
        <f t="shared" si="7"/>
        <v>1.2082294264339151</v>
      </c>
    </row>
    <row r="45" spans="1:11" x14ac:dyDescent="0.2">
      <c r="A45" s="1" t="s">
        <v>44</v>
      </c>
      <c r="B45" s="1" t="str">
        <f t="shared" si="2"/>
        <v>2005</v>
      </c>
      <c r="C45" s="1" t="str">
        <f t="shared" si="3"/>
        <v>4</v>
      </c>
      <c r="D45">
        <v>9712555.7594002094</v>
      </c>
      <c r="E45">
        <v>2864881.55895185</v>
      </c>
      <c r="F45" s="2">
        <v>14128523.288932901</v>
      </c>
      <c r="G45" s="2">
        <f t="shared" si="4"/>
        <v>1.6804805642798158E-2</v>
      </c>
      <c r="H45" s="2">
        <f t="shared" si="5"/>
        <v>7.3309797310934788E-2</v>
      </c>
      <c r="I45" s="2">
        <f t="shared" si="6"/>
        <v>2.9909031574138847E-2</v>
      </c>
      <c r="J45" s="4">
        <v>6.0033333333333339</v>
      </c>
      <c r="K45" s="2">
        <f t="shared" si="7"/>
        <v>0.88389121338912213</v>
      </c>
    </row>
    <row r="46" spans="1:11" x14ac:dyDescent="0.2">
      <c r="A46" s="1" t="s">
        <v>45</v>
      </c>
      <c r="B46" s="1" t="str">
        <f t="shared" si="2"/>
        <v>2006</v>
      </c>
      <c r="C46" s="1" t="str">
        <f t="shared" si="3"/>
        <v>1</v>
      </c>
      <c r="D46">
        <v>9932316.38904172</v>
      </c>
      <c r="E46">
        <v>2933576.20938267</v>
      </c>
      <c r="F46" s="2">
        <v>14375203.8808695</v>
      </c>
      <c r="G46" s="2">
        <f t="shared" si="4"/>
        <v>3.7768825216464928E-2</v>
      </c>
      <c r="H46" s="2">
        <f t="shared" si="5"/>
        <v>7.7229725723135675E-2</v>
      </c>
      <c r="I46" s="2">
        <f t="shared" si="6"/>
        <v>4.6243261043862463E-2</v>
      </c>
      <c r="J46" s="4">
        <v>4.32</v>
      </c>
      <c r="K46" s="2">
        <f t="shared" si="7"/>
        <v>-0.13715046604527295</v>
      </c>
    </row>
    <row r="47" spans="1:11" x14ac:dyDescent="0.2">
      <c r="A47" s="1" t="s">
        <v>46</v>
      </c>
      <c r="B47" s="1" t="str">
        <f t="shared" si="2"/>
        <v>2006</v>
      </c>
      <c r="C47" s="1" t="str">
        <f t="shared" si="3"/>
        <v>2</v>
      </c>
      <c r="D47">
        <v>10045752.7646219</v>
      </c>
      <c r="E47">
        <v>3019541.9694984602</v>
      </c>
      <c r="F47" s="2">
        <v>14519950.2550516</v>
      </c>
      <c r="G47" s="2">
        <f t="shared" si="4"/>
        <v>4.9129174098815349E-2</v>
      </c>
      <c r="H47" s="2">
        <f t="shared" si="5"/>
        <v>0.10893235545484777</v>
      </c>
      <c r="I47" s="2">
        <f t="shared" si="6"/>
        <v>5.3696443202038667E-2</v>
      </c>
      <c r="J47" s="4">
        <v>4.26</v>
      </c>
      <c r="K47" s="2">
        <f t="shared" si="7"/>
        <v>-0.23058398555087306</v>
      </c>
    </row>
    <row r="48" spans="1:11" x14ac:dyDescent="0.2">
      <c r="A48" s="1" t="s">
        <v>47</v>
      </c>
      <c r="B48" s="1" t="str">
        <f t="shared" si="2"/>
        <v>2006</v>
      </c>
      <c r="C48" s="1" t="str">
        <f t="shared" si="3"/>
        <v>3</v>
      </c>
      <c r="D48">
        <v>10044761.3950454</v>
      </c>
      <c r="E48">
        <v>3072895.4921897599</v>
      </c>
      <c r="F48" s="2">
        <v>14564503.5592086</v>
      </c>
      <c r="G48" s="2">
        <f t="shared" si="4"/>
        <v>3.6175655406556553E-2</v>
      </c>
      <c r="H48" s="2">
        <f t="shared" si="5"/>
        <v>0.10985362543237867</v>
      </c>
      <c r="I48" s="2">
        <f t="shared" si="6"/>
        <v>4.7129013862893421E-2</v>
      </c>
      <c r="J48" s="4">
        <v>3.7666666666666653</v>
      </c>
      <c r="K48" s="2">
        <f t="shared" si="7"/>
        <v>-0.36194240542066664</v>
      </c>
    </row>
    <row r="49" spans="1:11" x14ac:dyDescent="0.2">
      <c r="A49" s="1" t="s">
        <v>48</v>
      </c>
      <c r="B49" s="1" t="str">
        <f t="shared" si="2"/>
        <v>2006</v>
      </c>
      <c r="C49" s="1" t="str">
        <f t="shared" si="3"/>
        <v>4</v>
      </c>
      <c r="D49">
        <v>10092712.0940884</v>
      </c>
      <c r="E49">
        <v>3087043.5959010599</v>
      </c>
      <c r="F49" s="2">
        <v>14594527.964783899</v>
      </c>
      <c r="G49" s="2">
        <f t="shared" si="4"/>
        <v>3.9140710653862605E-2</v>
      </c>
      <c r="H49" s="2">
        <f t="shared" si="5"/>
        <v>7.7546674226382478E-2</v>
      </c>
      <c r="I49" s="2">
        <f t="shared" si="6"/>
        <v>3.2983254252482816E-2</v>
      </c>
      <c r="J49" s="4">
        <v>3.1733333333333329</v>
      </c>
      <c r="K49" s="2">
        <f t="shared" si="7"/>
        <v>-0.47140477512493073</v>
      </c>
    </row>
    <row r="50" spans="1:11" x14ac:dyDescent="0.2">
      <c r="A50" s="1" t="s">
        <v>49</v>
      </c>
      <c r="B50" s="1" t="str">
        <f t="shared" si="2"/>
        <v>2007</v>
      </c>
      <c r="C50" s="1" t="str">
        <f t="shared" si="3"/>
        <v>1</v>
      </c>
      <c r="D50">
        <v>10231273.6663149</v>
      </c>
      <c r="E50">
        <v>3074347.90996789</v>
      </c>
      <c r="F50" s="2">
        <v>14698367.6903452</v>
      </c>
      <c r="G50" s="2">
        <f t="shared" si="4"/>
        <v>3.0099451685109243E-2</v>
      </c>
      <c r="H50" s="2">
        <f t="shared" si="5"/>
        <v>4.7986379264659852E-2</v>
      </c>
      <c r="I50" s="2">
        <f t="shared" si="6"/>
        <v>2.2480641815853849E-2</v>
      </c>
      <c r="J50" s="4">
        <v>3.3433333333333337</v>
      </c>
      <c r="K50" s="2">
        <f t="shared" si="7"/>
        <v>-0.22608024691358022</v>
      </c>
    </row>
    <row r="51" spans="1:11" x14ac:dyDescent="0.2">
      <c r="A51" s="1" t="s">
        <v>50</v>
      </c>
      <c r="B51" s="1" t="str">
        <f t="shared" si="2"/>
        <v>2007</v>
      </c>
      <c r="C51" s="1" t="str">
        <f t="shared" si="3"/>
        <v>2</v>
      </c>
      <c r="D51">
        <v>10332961.4452581</v>
      </c>
      <c r="E51">
        <v>3138080.3430941398</v>
      </c>
      <c r="F51" s="2">
        <v>14812278.6541827</v>
      </c>
      <c r="G51" s="2">
        <f t="shared" si="4"/>
        <v>2.8590060632157025E-2</v>
      </c>
      <c r="H51" s="2">
        <f t="shared" si="5"/>
        <v>3.9257071036958836E-2</v>
      </c>
      <c r="I51" s="2">
        <f t="shared" si="6"/>
        <v>2.0132878831964136E-2</v>
      </c>
      <c r="J51" s="4">
        <v>3.6500000000000008</v>
      </c>
      <c r="K51" s="2">
        <f t="shared" si="7"/>
        <v>-0.14319248826291056</v>
      </c>
    </row>
    <row r="52" spans="1:11" x14ac:dyDescent="0.2">
      <c r="A52" s="1" t="s">
        <v>51</v>
      </c>
      <c r="B52" s="1" t="str">
        <f t="shared" si="2"/>
        <v>2007</v>
      </c>
      <c r="C52" s="1" t="str">
        <f t="shared" si="3"/>
        <v>3</v>
      </c>
      <c r="D52">
        <v>10283449.328759201</v>
      </c>
      <c r="E52">
        <v>3238841.4348294502</v>
      </c>
      <c r="F52" s="2">
        <v>14904843.104296099</v>
      </c>
      <c r="G52" s="2">
        <f t="shared" si="4"/>
        <v>2.3762429422319035E-2</v>
      </c>
      <c r="H52" s="2">
        <f t="shared" si="5"/>
        <v>5.4003119553355357E-2</v>
      </c>
      <c r="I52" s="2">
        <f t="shared" si="6"/>
        <v>2.3367740871079356E-2</v>
      </c>
      <c r="J52" s="4">
        <v>3.7166666666666663</v>
      </c>
      <c r="K52" s="2">
        <f t="shared" si="7"/>
        <v>-1.3274336283185563E-2</v>
      </c>
    </row>
    <row r="53" spans="1:11" x14ac:dyDescent="0.2">
      <c r="A53" s="1" t="s">
        <v>52</v>
      </c>
      <c r="B53" s="1" t="str">
        <f t="shared" si="2"/>
        <v>2007</v>
      </c>
      <c r="C53" s="1" t="str">
        <f t="shared" si="3"/>
        <v>4</v>
      </c>
      <c r="D53">
        <v>10272802.355771899</v>
      </c>
      <c r="E53">
        <v>3369142.12749214</v>
      </c>
      <c r="F53" s="2">
        <v>14963042.6294774</v>
      </c>
      <c r="G53" s="2">
        <f t="shared" si="4"/>
        <v>1.7843594467435928E-2</v>
      </c>
      <c r="H53" s="2">
        <f t="shared" si="5"/>
        <v>9.1381453752595931E-2</v>
      </c>
      <c r="I53" s="2">
        <f t="shared" si="6"/>
        <v>2.5250194153775593E-2</v>
      </c>
      <c r="J53" s="4">
        <v>4.0533333333333328</v>
      </c>
      <c r="K53" s="2">
        <f t="shared" si="7"/>
        <v>0.27731092436974791</v>
      </c>
    </row>
    <row r="54" spans="1:11" x14ac:dyDescent="0.2">
      <c r="A54" s="1" t="s">
        <v>53</v>
      </c>
      <c r="B54" s="1" t="str">
        <f t="shared" si="2"/>
        <v>2008</v>
      </c>
      <c r="C54" s="1" t="str">
        <f t="shared" si="3"/>
        <v>1</v>
      </c>
      <c r="D54">
        <v>10418342.461404599</v>
      </c>
      <c r="E54">
        <v>3414481.2677625301</v>
      </c>
      <c r="F54" s="2">
        <v>14937498.399397099</v>
      </c>
      <c r="G54" s="2">
        <f t="shared" si="4"/>
        <v>1.828401831392687E-2</v>
      </c>
      <c r="H54" s="2">
        <f t="shared" si="5"/>
        <v>0.11063593573513046</v>
      </c>
      <c r="I54" s="2">
        <f t="shared" si="6"/>
        <v>1.6269201729725097E-2</v>
      </c>
      <c r="J54" s="4">
        <v>4.0399999999999991</v>
      </c>
      <c r="K54" s="2">
        <f t="shared" si="7"/>
        <v>0.20837487537387797</v>
      </c>
    </row>
    <row r="55" spans="1:11" x14ac:dyDescent="0.2">
      <c r="A55" s="1" t="s">
        <v>54</v>
      </c>
      <c r="B55" s="1" t="str">
        <f t="shared" si="2"/>
        <v>2008</v>
      </c>
      <c r="C55" s="1" t="str">
        <f t="shared" si="3"/>
        <v>2</v>
      </c>
      <c r="D55">
        <v>10497079.785025099</v>
      </c>
      <c r="E55">
        <v>3463445.5360666499</v>
      </c>
      <c r="F55" s="2">
        <v>15044806.4832222</v>
      </c>
      <c r="G55" s="2">
        <f t="shared" si="4"/>
        <v>1.5882991593113439E-2</v>
      </c>
      <c r="H55" s="2">
        <f t="shared" si="5"/>
        <v>0.10368287532488757</v>
      </c>
      <c r="I55" s="2">
        <f t="shared" si="6"/>
        <v>1.5698315868088116E-2</v>
      </c>
      <c r="J55" s="4">
        <v>3.0366666666666671</v>
      </c>
      <c r="K55" s="2">
        <f t="shared" si="7"/>
        <v>-0.16803652968036537</v>
      </c>
    </row>
    <row r="56" spans="1:11" x14ac:dyDescent="0.2">
      <c r="A56" s="1" t="s">
        <v>55</v>
      </c>
      <c r="B56" s="1" t="str">
        <f t="shared" si="2"/>
        <v>2008</v>
      </c>
      <c r="C56" s="1" t="str">
        <f t="shared" si="3"/>
        <v>3</v>
      </c>
      <c r="D56">
        <v>10408700.894259701</v>
      </c>
      <c r="E56">
        <v>3456555.8772334098</v>
      </c>
      <c r="F56" s="2">
        <v>15092197.5504099</v>
      </c>
      <c r="G56" s="2">
        <f t="shared" si="4"/>
        <v>1.2179917603154322E-2</v>
      </c>
      <c r="H56" s="2">
        <f t="shared" si="5"/>
        <v>6.7219852155381579E-2</v>
      </c>
      <c r="I56" s="2">
        <f t="shared" si="6"/>
        <v>1.257003812806312E-2</v>
      </c>
      <c r="J56" s="4">
        <v>3.0233333333333334</v>
      </c>
      <c r="K56" s="2">
        <f t="shared" si="7"/>
        <v>-0.18654708520179364</v>
      </c>
    </row>
    <row r="57" spans="1:11" x14ac:dyDescent="0.2">
      <c r="A57" s="1" t="s">
        <v>56</v>
      </c>
      <c r="B57" s="1" t="str">
        <f t="shared" si="2"/>
        <v>2008</v>
      </c>
      <c r="C57" s="1" t="str">
        <f t="shared" si="3"/>
        <v>4</v>
      </c>
      <c r="D57">
        <v>10016782.1455414</v>
      </c>
      <c r="E57">
        <v>3340126.89894776</v>
      </c>
      <c r="F57" s="2">
        <v>14850554.5196454</v>
      </c>
      <c r="G57" s="2">
        <f t="shared" si="4"/>
        <v>-2.4922139194730193E-2</v>
      </c>
      <c r="H57" s="2">
        <f t="shared" si="5"/>
        <v>-8.6120523998130857E-3</v>
      </c>
      <c r="I57" s="2">
        <f t="shared" si="6"/>
        <v>-7.517729690243404E-3</v>
      </c>
      <c r="J57" s="4">
        <v>2.5366666666666662</v>
      </c>
      <c r="K57" s="2">
        <f t="shared" si="7"/>
        <v>-0.3741776315789474</v>
      </c>
    </row>
    <row r="58" spans="1:11" x14ac:dyDescent="0.2">
      <c r="A58" s="1" t="s">
        <v>57</v>
      </c>
      <c r="B58" s="1" t="str">
        <f t="shared" si="2"/>
        <v>2009</v>
      </c>
      <c r="C58" s="1" t="str">
        <f t="shared" si="3"/>
        <v>1</v>
      </c>
      <c r="D58">
        <v>9600144.5344829801</v>
      </c>
      <c r="E58">
        <v>3002714.8408363299</v>
      </c>
      <c r="F58" s="2">
        <v>14094573.5678967</v>
      </c>
      <c r="G58" s="2">
        <f t="shared" si="4"/>
        <v>-7.8534366666548394E-2</v>
      </c>
      <c r="H58" s="2">
        <f t="shared" si="5"/>
        <v>-0.12059413850468303</v>
      </c>
      <c r="I58" s="2">
        <f t="shared" si="6"/>
        <v>-5.643012028938002E-2</v>
      </c>
      <c r="J58" s="4">
        <v>1.8233333333333341</v>
      </c>
      <c r="K58" s="2">
        <f t="shared" si="7"/>
        <v>-0.54867986798679835</v>
      </c>
    </row>
    <row r="59" spans="1:11" x14ac:dyDescent="0.2">
      <c r="A59" s="1" t="s">
        <v>58</v>
      </c>
      <c r="B59" s="1" t="str">
        <f t="shared" si="2"/>
        <v>2009</v>
      </c>
      <c r="C59" s="1" t="str">
        <f t="shared" si="3"/>
        <v>2</v>
      </c>
      <c r="D59">
        <v>9500590.8528584</v>
      </c>
      <c r="E59">
        <v>3004386.6564621599</v>
      </c>
      <c r="F59" s="2">
        <v>13880914.330772299</v>
      </c>
      <c r="G59" s="2">
        <f t="shared" si="4"/>
        <v>-9.4930109380350555E-2</v>
      </c>
      <c r="H59" s="2">
        <f t="shared" si="5"/>
        <v>-0.13254398685472962</v>
      </c>
      <c r="I59" s="2">
        <f t="shared" si="6"/>
        <v>-7.7361723046943789E-2</v>
      </c>
      <c r="J59" s="4">
        <v>-5.6666666666667531E-2</v>
      </c>
      <c r="K59" s="2">
        <f t="shared" si="7"/>
        <v>-1.0186608122941825</v>
      </c>
    </row>
    <row r="60" spans="1:11" x14ac:dyDescent="0.2">
      <c r="A60" s="1" t="s">
        <v>59</v>
      </c>
      <c r="B60" s="1" t="str">
        <f t="shared" si="2"/>
        <v>2009</v>
      </c>
      <c r="C60" s="1" t="str">
        <f t="shared" si="3"/>
        <v>3</v>
      </c>
      <c r="D60">
        <v>9752309.2336373106</v>
      </c>
      <c r="E60">
        <v>3035261.6979538002</v>
      </c>
      <c r="F60" s="2">
        <v>14331662.6827373</v>
      </c>
      <c r="G60" s="2">
        <f t="shared" si="4"/>
        <v>-6.3061823688716406E-2</v>
      </c>
      <c r="H60" s="2">
        <f t="shared" si="5"/>
        <v>-0.12188264684348425</v>
      </c>
      <c r="I60" s="2">
        <f t="shared" si="6"/>
        <v>-5.0392586310397447E-2</v>
      </c>
      <c r="J60" s="4">
        <v>-0.23000000000000043</v>
      </c>
      <c r="K60" s="2">
        <f t="shared" si="7"/>
        <v>-1.0760749724366043</v>
      </c>
    </row>
    <row r="61" spans="1:11" x14ac:dyDescent="0.2">
      <c r="A61" s="1" t="s">
        <v>60</v>
      </c>
      <c r="B61" s="1" t="str">
        <f t="shared" si="2"/>
        <v>2009</v>
      </c>
      <c r="C61" s="1" t="str">
        <f t="shared" si="3"/>
        <v>4</v>
      </c>
      <c r="D61">
        <v>9961301.1794411596</v>
      </c>
      <c r="E61">
        <v>3031910.96253443</v>
      </c>
      <c r="F61" s="2">
        <v>14578769.866082201</v>
      </c>
      <c r="G61" s="2">
        <f t="shared" si="4"/>
        <v>-5.5388013130479663E-3</v>
      </c>
      <c r="H61" s="2">
        <f t="shared" si="5"/>
        <v>-9.227671454950627E-2</v>
      </c>
      <c r="I61" s="2">
        <f t="shared" si="6"/>
        <v>-1.830131347645389E-2</v>
      </c>
      <c r="J61" s="4">
        <v>0.94666666666666632</v>
      </c>
      <c r="K61" s="2">
        <f t="shared" si="7"/>
        <v>-0.62680683311432328</v>
      </c>
    </row>
    <row r="62" spans="1:11" x14ac:dyDescent="0.2">
      <c r="A62" s="1" t="s">
        <v>61</v>
      </c>
      <c r="B62" s="1" t="str">
        <f t="shared" si="2"/>
        <v>2010</v>
      </c>
      <c r="C62" s="1" t="str">
        <f t="shared" si="3"/>
        <v>1</v>
      </c>
      <c r="D62">
        <v>9929216.8386518303</v>
      </c>
      <c r="E62">
        <v>3137291.7464558701</v>
      </c>
      <c r="F62" s="2">
        <v>14734268.4095241</v>
      </c>
      <c r="G62" s="2">
        <f t="shared" si="4"/>
        <v>3.4277848941424556E-2</v>
      </c>
      <c r="H62" s="2">
        <f t="shared" si="5"/>
        <v>4.481841025638561E-2</v>
      </c>
      <c r="I62" s="2">
        <f t="shared" si="6"/>
        <v>4.5385895397675416E-2</v>
      </c>
      <c r="J62" s="4">
        <v>0.163333333333334</v>
      </c>
      <c r="K62" s="2">
        <f t="shared" si="7"/>
        <v>-0.91042047531992654</v>
      </c>
    </row>
    <row r="63" spans="1:11" x14ac:dyDescent="0.2">
      <c r="A63" s="1" t="s">
        <v>62</v>
      </c>
      <c r="B63" s="1" t="str">
        <f t="shared" si="2"/>
        <v>2010</v>
      </c>
      <c r="C63" s="1" t="str">
        <f t="shared" si="3"/>
        <v>2</v>
      </c>
      <c r="D63">
        <v>10020441.189902401</v>
      </c>
      <c r="E63">
        <v>3149910.4186796001</v>
      </c>
      <c r="F63" s="2">
        <v>14891104.2759773</v>
      </c>
      <c r="G63" s="2">
        <f t="shared" si="4"/>
        <v>5.4717684941415573E-2</v>
      </c>
      <c r="H63" s="2">
        <f t="shared" si="5"/>
        <v>4.843709510706018E-2</v>
      </c>
      <c r="I63" s="2">
        <f t="shared" si="6"/>
        <v>7.2775461409305936E-2</v>
      </c>
      <c r="J63" s="4">
        <v>0.98000000000000087</v>
      </c>
      <c r="K63" s="2">
        <f t="shared" si="7"/>
        <v>18.294117647058574</v>
      </c>
    </row>
    <row r="64" spans="1:11" x14ac:dyDescent="0.2">
      <c r="A64" s="1" t="s">
        <v>63</v>
      </c>
      <c r="B64" s="1" t="str">
        <f t="shared" si="2"/>
        <v>2010</v>
      </c>
      <c r="C64" s="1" t="str">
        <f t="shared" si="3"/>
        <v>3</v>
      </c>
      <c r="D64">
        <v>10057467.911375601</v>
      </c>
      <c r="E64">
        <v>3135034.7237943001</v>
      </c>
      <c r="F64" s="2">
        <v>15026996.824942401</v>
      </c>
      <c r="G64" s="2">
        <f t="shared" si="4"/>
        <v>3.1290914841558555E-2</v>
      </c>
      <c r="H64" s="2">
        <f t="shared" si="5"/>
        <v>3.2871309221132787E-2</v>
      </c>
      <c r="I64" s="2">
        <f t="shared" si="6"/>
        <v>4.8517339376305639E-2</v>
      </c>
      <c r="J64" s="4">
        <v>1.2333333333333338</v>
      </c>
      <c r="K64" s="2">
        <f t="shared" si="7"/>
        <v>6.362318840579702</v>
      </c>
    </row>
    <row r="65" spans="1:11" x14ac:dyDescent="0.2">
      <c r="A65" s="1" t="s">
        <v>64</v>
      </c>
      <c r="B65" s="1" t="str">
        <f t="shared" si="2"/>
        <v>2010</v>
      </c>
      <c r="C65" s="1" t="str">
        <f t="shared" si="3"/>
        <v>4</v>
      </c>
      <c r="D65">
        <v>10207778.971949499</v>
      </c>
      <c r="E65">
        <v>3214188.9782642298</v>
      </c>
      <c r="F65" s="2">
        <v>15150629.891168</v>
      </c>
      <c r="G65" s="2">
        <f t="shared" si="4"/>
        <v>2.4743533808317921E-2</v>
      </c>
      <c r="H65" s="2">
        <f t="shared" si="5"/>
        <v>6.0119844541025154E-2</v>
      </c>
      <c r="I65" s="2">
        <f t="shared" si="6"/>
        <v>3.9225533453013973E-2</v>
      </c>
      <c r="J65" s="4">
        <v>0.62999999999999901</v>
      </c>
      <c r="K65" s="2">
        <f t="shared" si="7"/>
        <v>-0.33450704225352196</v>
      </c>
    </row>
    <row r="66" spans="1:11" x14ac:dyDescent="0.2">
      <c r="A66" s="1" t="s">
        <v>65</v>
      </c>
      <c r="B66" s="1" t="str">
        <f t="shared" si="2"/>
        <v>2011</v>
      </c>
      <c r="C66" s="1" t="str">
        <f t="shared" si="3"/>
        <v>1</v>
      </c>
      <c r="D66">
        <v>10208866.1608232</v>
      </c>
      <c r="E66">
        <v>3228797.3959834999</v>
      </c>
      <c r="F66" s="2">
        <v>15267885.6909975</v>
      </c>
      <c r="G66" s="2">
        <f t="shared" si="4"/>
        <v>2.816428795096591E-2</v>
      </c>
      <c r="H66" s="2">
        <f t="shared" si="5"/>
        <v>2.9167083243374407E-2</v>
      </c>
      <c r="I66" s="2">
        <f t="shared" si="6"/>
        <v>3.621606900607801E-2</v>
      </c>
      <c r="J66" s="4">
        <v>1.3833333333333333</v>
      </c>
      <c r="K66" s="2">
        <f t="shared" si="7"/>
        <v>7.469387755102006</v>
      </c>
    </row>
    <row r="67" spans="1:11" x14ac:dyDescent="0.2">
      <c r="A67" s="1" t="s">
        <v>66</v>
      </c>
      <c r="B67" s="1" t="str">
        <f t="shared" si="2"/>
        <v>2011</v>
      </c>
      <c r="C67" s="1" t="str">
        <f t="shared" si="3"/>
        <v>2</v>
      </c>
      <c r="D67">
        <v>10364132.703823401</v>
      </c>
      <c r="E67">
        <v>3378745.1272038599</v>
      </c>
      <c r="F67" s="2">
        <v>15343110.867473099</v>
      </c>
      <c r="G67" s="2">
        <f t="shared" si="4"/>
        <v>3.4299040072939907E-2</v>
      </c>
      <c r="H67" s="2">
        <f t="shared" si="5"/>
        <v>7.2648005215394079E-2</v>
      </c>
      <c r="I67" s="2">
        <f t="shared" si="6"/>
        <v>3.0354135134557293E-2</v>
      </c>
      <c r="J67" s="4">
        <v>1.5533333333333332</v>
      </c>
      <c r="K67" s="2">
        <f t="shared" si="7"/>
        <v>0.58503401360544072</v>
      </c>
    </row>
    <row r="68" spans="1:11" x14ac:dyDescent="0.2">
      <c r="A68" s="1" t="s">
        <v>67</v>
      </c>
      <c r="B68" s="1" t="str">
        <f t="shared" si="2"/>
        <v>2011</v>
      </c>
      <c r="C68" s="1" t="str">
        <f t="shared" si="3"/>
        <v>3</v>
      </c>
      <c r="D68">
        <v>10497461.0713876</v>
      </c>
      <c r="E68">
        <v>3461194.63011134</v>
      </c>
      <c r="F68" s="2">
        <v>15638012.9034307</v>
      </c>
      <c r="G68" s="2">
        <f t="shared" si="4"/>
        <v>4.3747905923153939E-2</v>
      </c>
      <c r="H68" s="2">
        <f t="shared" si="5"/>
        <v>0.10403709529644121</v>
      </c>
      <c r="I68" s="2">
        <f t="shared" si="6"/>
        <v>4.0661223636788896E-2</v>
      </c>
      <c r="J68" s="4">
        <v>1.433333333333334</v>
      </c>
      <c r="K68" s="2">
        <f t="shared" si="7"/>
        <v>0.16216216216216223</v>
      </c>
    </row>
    <row r="69" spans="1:11" x14ac:dyDescent="0.2">
      <c r="A69" s="1" t="s">
        <v>68</v>
      </c>
      <c r="B69" s="1" t="str">
        <f t="shared" si="2"/>
        <v>2011</v>
      </c>
      <c r="C69" s="1" t="str">
        <f t="shared" si="3"/>
        <v>4</v>
      </c>
      <c r="D69">
        <v>10501263.9141357</v>
      </c>
      <c r="E69">
        <v>3552178.1261713998</v>
      </c>
      <c r="F69" s="2">
        <v>15749407.468297601</v>
      </c>
      <c r="G69" s="2">
        <f t="shared" si="4"/>
        <v>2.8751106679786458E-2</v>
      </c>
      <c r="H69" s="2">
        <f t="shared" si="5"/>
        <v>0.10515534406744668</v>
      </c>
      <c r="I69" s="2">
        <f t="shared" si="6"/>
        <v>3.952162922801352E-2</v>
      </c>
      <c r="J69" s="4">
        <v>1.2966666666666669</v>
      </c>
      <c r="K69" s="2">
        <f t="shared" si="7"/>
        <v>1.0582010582010617</v>
      </c>
    </row>
    <row r="70" spans="1:11" x14ac:dyDescent="0.2">
      <c r="A70" s="1" t="s">
        <v>69</v>
      </c>
      <c r="B70" s="1" t="str">
        <f t="shared" si="2"/>
        <v>2012</v>
      </c>
      <c r="C70" s="1" t="str">
        <f t="shared" si="3"/>
        <v>1</v>
      </c>
      <c r="D70">
        <v>10599463.5832865</v>
      </c>
      <c r="E70">
        <v>3547342.6266222401</v>
      </c>
      <c r="F70" s="2">
        <v>15848649.079218199</v>
      </c>
      <c r="G70" s="2">
        <f t="shared" si="4"/>
        <v>3.8260607623815057E-2</v>
      </c>
      <c r="H70" s="2">
        <f t="shared" si="5"/>
        <v>9.8657546935276327E-2</v>
      </c>
      <c r="I70" s="2">
        <f t="shared" si="6"/>
        <v>3.8038232665256244E-2</v>
      </c>
      <c r="J70" s="4">
        <v>0.89666666666666694</v>
      </c>
      <c r="K70" s="2">
        <f t="shared" si="7"/>
        <v>-0.35180722891566246</v>
      </c>
    </row>
    <row r="71" spans="1:11" x14ac:dyDescent="0.2">
      <c r="A71" s="1" t="s">
        <v>70</v>
      </c>
      <c r="B71" s="1" t="str">
        <f t="shared" ref="B71:B104" si="8">LEFT(A71,4)</f>
        <v>2012</v>
      </c>
      <c r="C71" s="1" t="str">
        <f t="shared" ref="C71:C104" si="9">RIGHT(A71,1)</f>
        <v>2</v>
      </c>
      <c r="D71">
        <v>10576207.520103</v>
      </c>
      <c r="E71">
        <v>3580273.7206026101</v>
      </c>
      <c r="F71" s="2">
        <v>15980724.451230001</v>
      </c>
      <c r="G71" s="2">
        <f t="shared" ref="G71:G97" si="10">(D71-D67)/ABS(D67)</f>
        <v>2.0462379471594721E-2</v>
      </c>
      <c r="H71" s="2">
        <f t="shared" ref="H71:H97" si="11">(E71-E67)/ABS(E67)</f>
        <v>5.9645988617534118E-2</v>
      </c>
      <c r="I71" s="2">
        <f t="shared" ref="I71:I97" si="12">(F71-F67)/ABS(F67)</f>
        <v>4.1556995140315488E-2</v>
      </c>
      <c r="J71" s="4">
        <v>0.88666666666666627</v>
      </c>
      <c r="K71" s="2">
        <f t="shared" ref="K71:K96" si="13">(J71-J67)/ABS(J67)</f>
        <v>-0.42918454935622341</v>
      </c>
    </row>
    <row r="72" spans="1:11" x14ac:dyDescent="0.2">
      <c r="A72" s="1" t="s">
        <v>71</v>
      </c>
      <c r="B72" s="1" t="str">
        <f t="shared" si="8"/>
        <v>2012</v>
      </c>
      <c r="C72" s="1" t="str">
        <f t="shared" si="9"/>
        <v>3</v>
      </c>
      <c r="D72">
        <v>10621694.6359124</v>
      </c>
      <c r="E72">
        <v>3628000.0522441999</v>
      </c>
      <c r="F72" s="2">
        <v>16078652.869709101</v>
      </c>
      <c r="G72" s="2">
        <f t="shared" si="10"/>
        <v>1.1834629695690584E-2</v>
      </c>
      <c r="H72" s="2">
        <f t="shared" si="11"/>
        <v>4.8193020028895091E-2</v>
      </c>
      <c r="I72" s="2">
        <f t="shared" si="12"/>
        <v>2.8177490899865657E-2</v>
      </c>
      <c r="J72" s="4">
        <v>0.20333333333333314</v>
      </c>
      <c r="K72" s="2">
        <f t="shared" si="13"/>
        <v>-0.85813953488372108</v>
      </c>
    </row>
    <row r="73" spans="1:11" x14ac:dyDescent="0.2">
      <c r="A73" s="1" t="s">
        <v>72</v>
      </c>
      <c r="B73" s="1" t="str">
        <f t="shared" si="8"/>
        <v>2012</v>
      </c>
      <c r="C73" s="1" t="str">
        <f t="shared" si="9"/>
        <v>4</v>
      </c>
      <c r="D73">
        <v>10677711.0974232</v>
      </c>
      <c r="E73">
        <v>3551933.8187161698</v>
      </c>
      <c r="F73" s="2">
        <v>16215690.862600399</v>
      </c>
      <c r="G73" s="2">
        <f t="shared" si="10"/>
        <v>1.680247108635988E-2</v>
      </c>
      <c r="H73" s="2">
        <f t="shared" si="11"/>
        <v>-6.8776803007161545E-5</v>
      </c>
      <c r="I73" s="2">
        <f t="shared" si="12"/>
        <v>2.9606408700860183E-2</v>
      </c>
      <c r="J73" s="4">
        <v>0.71666666666666679</v>
      </c>
      <c r="K73" s="2">
        <f t="shared" si="13"/>
        <v>-0.4473007712082262</v>
      </c>
    </row>
    <row r="74" spans="1:11" x14ac:dyDescent="0.2">
      <c r="A74" s="1" t="s">
        <v>73</v>
      </c>
      <c r="B74" s="1" t="str">
        <f t="shared" si="8"/>
        <v>2013</v>
      </c>
      <c r="C74" s="1" t="str">
        <f t="shared" si="9"/>
        <v>1</v>
      </c>
      <c r="D74">
        <v>10820542.3356805</v>
      </c>
      <c r="E74">
        <v>3549612.2949568401</v>
      </c>
      <c r="F74" s="2">
        <v>16261832.660982801</v>
      </c>
      <c r="G74" s="2">
        <f t="shared" si="10"/>
        <v>2.0857541578104256E-2</v>
      </c>
      <c r="H74" s="2">
        <f t="shared" si="11"/>
        <v>6.3982213546742044E-4</v>
      </c>
      <c r="I74" s="2">
        <f t="shared" si="12"/>
        <v>2.6070586817799814E-2</v>
      </c>
      <c r="J74" s="4">
        <v>1.0300000000000002</v>
      </c>
      <c r="K74" s="2">
        <f t="shared" si="13"/>
        <v>0.14869888475836424</v>
      </c>
    </row>
    <row r="75" spans="1:11" x14ac:dyDescent="0.2">
      <c r="A75" s="1" t="s">
        <v>74</v>
      </c>
      <c r="B75" s="1" t="str">
        <f t="shared" si="8"/>
        <v>2013</v>
      </c>
      <c r="C75" s="1" t="str">
        <f t="shared" si="9"/>
        <v>2</v>
      </c>
      <c r="D75">
        <v>10768645.110261399</v>
      </c>
      <c r="E75">
        <v>3437821.1865624301</v>
      </c>
      <c r="F75" s="2">
        <v>16155461.308653301</v>
      </c>
      <c r="G75" s="2">
        <f t="shared" si="10"/>
        <v>1.8195330395382132E-2</v>
      </c>
      <c r="H75" s="2">
        <f t="shared" si="11"/>
        <v>-3.9788168491263647E-2</v>
      </c>
      <c r="I75" s="2">
        <f t="shared" si="12"/>
        <v>1.0934226289713094E-2</v>
      </c>
      <c r="J75" s="4">
        <v>-0.14000000000000057</v>
      </c>
      <c r="K75" s="2">
        <f t="shared" si="13"/>
        <v>-1.157894736842106</v>
      </c>
    </row>
    <row r="76" spans="1:11" x14ac:dyDescent="0.2">
      <c r="A76" s="1" t="s">
        <v>75</v>
      </c>
      <c r="B76" s="1" t="str">
        <f t="shared" si="8"/>
        <v>2013</v>
      </c>
      <c r="C76" s="1" t="str">
        <f t="shared" si="9"/>
        <v>3</v>
      </c>
      <c r="D76">
        <v>10821641.643128499</v>
      </c>
      <c r="E76">
        <v>3406769.3007760802</v>
      </c>
      <c r="F76" s="2">
        <v>16312580.9661204</v>
      </c>
      <c r="G76" s="2">
        <f t="shared" si="10"/>
        <v>1.8824397995784056E-2</v>
      </c>
      <c r="H76" s="2">
        <f t="shared" si="11"/>
        <v>-6.0978706803289949E-2</v>
      </c>
      <c r="I76" s="2">
        <f t="shared" si="12"/>
        <v>1.4548986056661552E-2</v>
      </c>
      <c r="J76" s="4">
        <v>0.80333333333333323</v>
      </c>
      <c r="K76" s="2">
        <f t="shared" si="13"/>
        <v>2.9508196721311508</v>
      </c>
    </row>
    <row r="77" spans="1:11" x14ac:dyDescent="0.2">
      <c r="A77" s="1" t="s">
        <v>76</v>
      </c>
      <c r="B77" s="1" t="str">
        <f t="shared" si="8"/>
        <v>2013</v>
      </c>
      <c r="C77" s="1" t="str">
        <f t="shared" si="9"/>
        <v>4</v>
      </c>
      <c r="D77">
        <v>10891234.2026146</v>
      </c>
      <c r="E77">
        <v>3441810.6597762601</v>
      </c>
      <c r="F77" s="2">
        <v>16409300.6554657</v>
      </c>
      <c r="G77" s="2">
        <f t="shared" si="10"/>
        <v>1.9997085821410618E-2</v>
      </c>
      <c r="H77" s="2">
        <f t="shared" si="11"/>
        <v>-3.1003719258404755E-2</v>
      </c>
      <c r="I77" s="2">
        <f t="shared" si="12"/>
        <v>1.1939657366793971E-2</v>
      </c>
      <c r="J77" s="4">
        <v>0.2033333333333327</v>
      </c>
      <c r="K77" s="2">
        <f t="shared" si="13"/>
        <v>-0.71627906976744282</v>
      </c>
    </row>
    <row r="78" spans="1:11" x14ac:dyDescent="0.2">
      <c r="A78" s="1" t="s">
        <v>77</v>
      </c>
      <c r="B78" s="1" t="str">
        <f t="shared" si="8"/>
        <v>2014</v>
      </c>
      <c r="C78" s="1" t="str">
        <f t="shared" si="9"/>
        <v>1</v>
      </c>
      <c r="D78">
        <v>10901673.7838447</v>
      </c>
      <c r="E78">
        <v>3475824.7868538699</v>
      </c>
      <c r="F78" s="2">
        <v>16524019.114212099</v>
      </c>
      <c r="G78" s="2">
        <f t="shared" si="10"/>
        <v>7.497909591524932E-3</v>
      </c>
      <c r="H78" s="2">
        <f t="shared" si="11"/>
        <v>-2.0787483807120231E-2</v>
      </c>
      <c r="I78" s="2">
        <f t="shared" si="12"/>
        <v>1.6122810921450799E-2</v>
      </c>
      <c r="J78" s="4">
        <v>-0.3666666666666667</v>
      </c>
      <c r="K78" s="2">
        <f t="shared" si="13"/>
        <v>-1.3559870550161812</v>
      </c>
    </row>
    <row r="79" spans="1:11" x14ac:dyDescent="0.2">
      <c r="A79" s="1" t="s">
        <v>78</v>
      </c>
      <c r="B79" s="1" t="str">
        <f t="shared" si="8"/>
        <v>2014</v>
      </c>
      <c r="C79" s="1" t="str">
        <f t="shared" si="9"/>
        <v>2</v>
      </c>
      <c r="D79">
        <v>11095925.642301099</v>
      </c>
      <c r="E79">
        <v>3553809.6429365799</v>
      </c>
      <c r="F79" s="2">
        <v>16725496.1885047</v>
      </c>
      <c r="G79" s="2">
        <f t="shared" si="10"/>
        <v>3.039198791385889E-2</v>
      </c>
      <c r="H79" s="2">
        <f t="shared" si="11"/>
        <v>3.3738943964717882E-2</v>
      </c>
      <c r="I79" s="2">
        <f t="shared" si="12"/>
        <v>3.5284345582015222E-2</v>
      </c>
      <c r="J79" s="4">
        <v>9.3333333333333268E-2</v>
      </c>
      <c r="K79" s="2">
        <f t="shared" si="13"/>
        <v>1.6666666666666634</v>
      </c>
    </row>
    <row r="80" spans="1:11" x14ac:dyDescent="0.2">
      <c r="A80" s="1" t="s">
        <v>79</v>
      </c>
      <c r="B80" s="1" t="str">
        <f t="shared" si="8"/>
        <v>2014</v>
      </c>
      <c r="C80" s="1" t="str">
        <f t="shared" si="9"/>
        <v>3</v>
      </c>
      <c r="D80">
        <v>11081572.918846</v>
      </c>
      <c r="E80">
        <v>3535680.3313534502</v>
      </c>
      <c r="F80" s="2">
        <v>16783459.824043602</v>
      </c>
      <c r="G80" s="2">
        <f t="shared" si="10"/>
        <v>2.4019578940922624E-2</v>
      </c>
      <c r="H80" s="2">
        <f t="shared" si="11"/>
        <v>3.7839671312056074E-2</v>
      </c>
      <c r="I80" s="2">
        <f t="shared" si="12"/>
        <v>2.8865993609544102E-2</v>
      </c>
      <c r="J80" s="4">
        <v>-0.85000000000000053</v>
      </c>
      <c r="K80" s="2">
        <f t="shared" si="13"/>
        <v>-2.0580912863070546</v>
      </c>
    </row>
    <row r="81" spans="1:11" x14ac:dyDescent="0.2">
      <c r="A81" s="1" t="s">
        <v>80</v>
      </c>
      <c r="B81" s="1" t="str">
        <f t="shared" si="8"/>
        <v>2014</v>
      </c>
      <c r="C81" s="1" t="str">
        <f t="shared" si="9"/>
        <v>4</v>
      </c>
      <c r="D81">
        <v>11149739.7364983</v>
      </c>
      <c r="E81">
        <v>3666054.0679474198</v>
      </c>
      <c r="F81" s="2">
        <v>16966771.915599</v>
      </c>
      <c r="G81" s="2">
        <f t="shared" si="10"/>
        <v>2.3735191905215124E-2</v>
      </c>
      <c r="H81" s="2">
        <f t="shared" si="11"/>
        <v>6.5152743813553349E-2</v>
      </c>
      <c r="I81" s="2">
        <f t="shared" si="12"/>
        <v>3.3972883539531859E-2</v>
      </c>
      <c r="J81" s="4">
        <v>-0.88999999999999968</v>
      </c>
      <c r="K81" s="2">
        <f t="shared" si="13"/>
        <v>-5.377049180327881</v>
      </c>
    </row>
    <row r="82" spans="1:11" x14ac:dyDescent="0.2">
      <c r="A82" s="1" t="s">
        <v>81</v>
      </c>
      <c r="B82" s="1" t="str">
        <f t="shared" si="8"/>
        <v>2015</v>
      </c>
      <c r="C82" s="1" t="str">
        <f t="shared" si="9"/>
        <v>1</v>
      </c>
      <c r="D82">
        <v>11198364.675095901</v>
      </c>
      <c r="E82">
        <v>3613282.0594447199</v>
      </c>
      <c r="F82" s="2">
        <v>17062064.916970801</v>
      </c>
      <c r="G82" s="2">
        <f t="shared" si="10"/>
        <v>2.7215168710227784E-2</v>
      </c>
      <c r="H82" s="2">
        <f t="shared" si="11"/>
        <v>3.9546663315923054E-2</v>
      </c>
      <c r="I82" s="2">
        <f t="shared" si="12"/>
        <v>3.2561436720678613E-2</v>
      </c>
      <c r="J82" s="4">
        <v>0.22999999999999909</v>
      </c>
      <c r="K82" s="2">
        <f t="shared" si="13"/>
        <v>1.6272727272727248</v>
      </c>
    </row>
    <row r="83" spans="1:11" x14ac:dyDescent="0.2">
      <c r="A83" s="1" t="s">
        <v>82</v>
      </c>
      <c r="B83" s="1" t="str">
        <f t="shared" si="8"/>
        <v>2015</v>
      </c>
      <c r="C83" s="1" t="str">
        <f t="shared" si="9"/>
        <v>2</v>
      </c>
      <c r="D83">
        <v>11281091.402498901</v>
      </c>
      <c r="E83">
        <v>3739599.18561893</v>
      </c>
      <c r="F83" s="2">
        <v>17260060.303881101</v>
      </c>
      <c r="G83" s="2">
        <f t="shared" si="10"/>
        <v>1.668772540182609E-2</v>
      </c>
      <c r="H83" s="2">
        <f t="shared" si="11"/>
        <v>5.2278979841145559E-2</v>
      </c>
      <c r="I83" s="2">
        <f t="shared" si="12"/>
        <v>3.1961031789526424E-2</v>
      </c>
      <c r="J83" s="4">
        <v>0.36333333333333329</v>
      </c>
      <c r="K83" s="2">
        <f t="shared" si="13"/>
        <v>2.892857142857145</v>
      </c>
    </row>
    <row r="84" spans="1:11" x14ac:dyDescent="0.2">
      <c r="A84" s="1" t="s">
        <v>83</v>
      </c>
      <c r="B84" s="1" t="str">
        <f t="shared" si="8"/>
        <v>2015</v>
      </c>
      <c r="C84" s="1" t="str">
        <f t="shared" si="9"/>
        <v>3</v>
      </c>
      <c r="D84">
        <v>11385787.556962101</v>
      </c>
      <c r="E84">
        <v>3856003.8700225698</v>
      </c>
      <c r="F84" s="2">
        <v>17466109.703815699</v>
      </c>
      <c r="G84" s="2">
        <f t="shared" si="10"/>
        <v>2.7452297642578772E-2</v>
      </c>
      <c r="H84" s="2">
        <f t="shared" si="11"/>
        <v>9.0597426421324831E-2</v>
      </c>
      <c r="I84" s="2">
        <f t="shared" si="12"/>
        <v>4.0673966329287374E-2</v>
      </c>
      <c r="J84" s="4">
        <v>0.69999999999999973</v>
      </c>
      <c r="K84" s="2">
        <f t="shared" si="13"/>
        <v>1.823529411764705</v>
      </c>
    </row>
    <row r="85" spans="1:11" x14ac:dyDescent="0.2">
      <c r="A85" s="1" t="s">
        <v>84</v>
      </c>
      <c r="B85" s="1" t="str">
        <f t="shared" si="8"/>
        <v>2015</v>
      </c>
      <c r="C85" s="1" t="str">
        <f t="shared" si="9"/>
        <v>4</v>
      </c>
      <c r="D85">
        <v>11547826.6498638</v>
      </c>
      <c r="E85">
        <v>3717090.3569140402</v>
      </c>
      <c r="F85" s="2">
        <v>17430004.925392698</v>
      </c>
      <c r="G85" s="2">
        <f t="shared" si="10"/>
        <v>3.5703695581554777E-2</v>
      </c>
      <c r="H85" s="2">
        <f t="shared" si="11"/>
        <v>1.3921313766982971E-2</v>
      </c>
      <c r="I85" s="2">
        <f t="shared" si="12"/>
        <v>2.7302365594235944E-2</v>
      </c>
      <c r="J85" s="4">
        <v>1.0766666666666671</v>
      </c>
      <c r="K85" s="2">
        <f t="shared" si="13"/>
        <v>2.2097378277153568</v>
      </c>
    </row>
    <row r="86" spans="1:11" x14ac:dyDescent="0.2">
      <c r="A86" s="1" t="s">
        <v>85</v>
      </c>
      <c r="B86" s="1" t="str">
        <f t="shared" si="8"/>
        <v>2016</v>
      </c>
      <c r="C86" s="1" t="str">
        <f t="shared" si="9"/>
        <v>1</v>
      </c>
      <c r="D86">
        <v>11624143.9757649</v>
      </c>
      <c r="E86">
        <v>3774459.3708901801</v>
      </c>
      <c r="F86" s="2">
        <v>17529729.900009502</v>
      </c>
      <c r="G86" s="2">
        <f t="shared" si="10"/>
        <v>3.8021560560167526E-2</v>
      </c>
      <c r="H86" s="2">
        <f t="shared" si="11"/>
        <v>4.4606899985612944E-2</v>
      </c>
      <c r="I86" s="2">
        <f t="shared" si="12"/>
        <v>2.7409635663356177E-2</v>
      </c>
      <c r="J86" s="4">
        <v>1.0966666666666671</v>
      </c>
      <c r="K86" s="2">
        <f t="shared" si="13"/>
        <v>3.7681159420290062</v>
      </c>
    </row>
    <row r="87" spans="1:11" x14ac:dyDescent="0.2">
      <c r="A87" s="1" t="s">
        <v>86</v>
      </c>
      <c r="B87" s="1" t="str">
        <f t="shared" si="8"/>
        <v>2016</v>
      </c>
      <c r="C87" s="1" t="str">
        <f t="shared" si="9"/>
        <v>2</v>
      </c>
      <c r="D87">
        <v>11613478.100428199</v>
      </c>
      <c r="E87">
        <v>3728325.8361868798</v>
      </c>
      <c r="F87" s="2">
        <v>17600590.021931101</v>
      </c>
      <c r="G87" s="2">
        <f t="shared" si="10"/>
        <v>2.9464055034220425E-2</v>
      </c>
      <c r="H87" s="2">
        <f t="shared" si="11"/>
        <v>-3.0145876262363215E-3</v>
      </c>
      <c r="I87" s="2">
        <f t="shared" si="12"/>
        <v>1.9729346946338752E-2</v>
      </c>
      <c r="J87" s="4">
        <v>1.52</v>
      </c>
      <c r="K87" s="2">
        <f t="shared" si="13"/>
        <v>3.1834862385321108</v>
      </c>
    </row>
    <row r="88" spans="1:11" x14ac:dyDescent="0.2">
      <c r="A88" s="1" t="s">
        <v>87</v>
      </c>
      <c r="B88" s="1" t="str">
        <f t="shared" si="8"/>
        <v>2016</v>
      </c>
      <c r="C88" s="1" t="str">
        <f t="shared" si="9"/>
        <v>3</v>
      </c>
      <c r="D88">
        <v>11798812.680741901</v>
      </c>
      <c r="E88">
        <v>3747240.9035542798</v>
      </c>
      <c r="F88" s="2">
        <v>17770150.743998799</v>
      </c>
      <c r="G88" s="2">
        <f t="shared" si="10"/>
        <v>3.6275498880817089E-2</v>
      </c>
      <c r="H88" s="2">
        <f t="shared" si="11"/>
        <v>-2.8206135194478774E-2</v>
      </c>
      <c r="I88" s="2">
        <f t="shared" si="12"/>
        <v>1.7407484857184834E-2</v>
      </c>
      <c r="J88" s="4">
        <v>1.8033333333333328</v>
      </c>
      <c r="K88" s="2">
        <f t="shared" si="13"/>
        <v>1.5761904761904764</v>
      </c>
    </row>
    <row r="89" spans="1:11" x14ac:dyDescent="0.2">
      <c r="A89" s="1" t="s">
        <v>88</v>
      </c>
      <c r="B89" s="1" t="str">
        <f t="shared" si="8"/>
        <v>2016</v>
      </c>
      <c r="C89" s="1" t="str">
        <f t="shared" si="9"/>
        <v>4</v>
      </c>
      <c r="D89">
        <v>11948821.4375795</v>
      </c>
      <c r="E89">
        <v>3803806.4248568201</v>
      </c>
      <c r="F89" s="2">
        <v>17973458.0190726</v>
      </c>
      <c r="G89" s="2">
        <f t="shared" si="10"/>
        <v>3.4724697544747871E-2</v>
      </c>
      <c r="H89" s="2">
        <f t="shared" si="11"/>
        <v>2.3329018026554616E-2</v>
      </c>
      <c r="I89" s="2">
        <f t="shared" si="12"/>
        <v>3.117917040219409E-2</v>
      </c>
      <c r="J89" s="4">
        <v>2.1866666666666661</v>
      </c>
      <c r="K89" s="2">
        <f t="shared" si="13"/>
        <v>1.03095975232198</v>
      </c>
    </row>
    <row r="90" spans="1:11" x14ac:dyDescent="0.2">
      <c r="A90" s="1" t="s">
        <v>89</v>
      </c>
      <c r="B90" s="1" t="str">
        <f t="shared" si="8"/>
        <v>2017</v>
      </c>
      <c r="C90" s="1" t="str">
        <f t="shared" si="9"/>
        <v>1</v>
      </c>
      <c r="D90">
        <v>12061564.517233901</v>
      </c>
      <c r="E90">
        <v>3714976.5428314898</v>
      </c>
      <c r="F90" s="2">
        <v>18061215.7863486</v>
      </c>
      <c r="G90" s="2">
        <f t="shared" si="10"/>
        <v>3.7630344426305751E-2</v>
      </c>
      <c r="H90" s="2">
        <f t="shared" si="11"/>
        <v>-1.575929748176404E-2</v>
      </c>
      <c r="I90" s="2">
        <f t="shared" si="12"/>
        <v>3.0319114405682322E-2</v>
      </c>
      <c r="J90" s="4">
        <v>1.4233333333333329</v>
      </c>
      <c r="K90" s="2">
        <f t="shared" si="13"/>
        <v>0.29787234042553096</v>
      </c>
    </row>
    <row r="91" spans="1:11" x14ac:dyDescent="0.2">
      <c r="A91" s="1" t="s">
        <v>90</v>
      </c>
      <c r="B91" s="1" t="str">
        <f t="shared" si="8"/>
        <v>2017</v>
      </c>
      <c r="C91" s="1" t="str">
        <f t="shared" si="9"/>
        <v>2</v>
      </c>
      <c r="D91">
        <v>12141704.6315678</v>
      </c>
      <c r="E91">
        <v>3703813.6785284202</v>
      </c>
      <c r="F91" s="2">
        <v>18123607.6518929</v>
      </c>
      <c r="G91" s="2">
        <f t="shared" si="10"/>
        <v>4.548392192000817E-2</v>
      </c>
      <c r="H91" s="2">
        <f t="shared" si="11"/>
        <v>-6.5745749527968463E-3</v>
      </c>
      <c r="I91" s="2">
        <f t="shared" si="12"/>
        <v>2.9715914597754797E-2</v>
      </c>
      <c r="J91" s="4">
        <v>0.92333333333333378</v>
      </c>
      <c r="K91" s="2">
        <f t="shared" si="13"/>
        <v>-0.39254385964912253</v>
      </c>
    </row>
    <row r="92" spans="1:11" x14ac:dyDescent="0.2">
      <c r="A92" s="1" t="s">
        <v>91</v>
      </c>
      <c r="B92" s="1" t="str">
        <f t="shared" si="8"/>
        <v>2017</v>
      </c>
      <c r="C92" s="1" t="str">
        <f t="shared" si="9"/>
        <v>3</v>
      </c>
      <c r="D92">
        <v>12153922.9827027</v>
      </c>
      <c r="E92">
        <v>3730174.64102061</v>
      </c>
      <c r="F92" s="2">
        <v>18047028.371772099</v>
      </c>
      <c r="G92" s="2">
        <f t="shared" si="10"/>
        <v>3.0097121767210799E-2</v>
      </c>
      <c r="H92" s="2">
        <f t="shared" si="11"/>
        <v>-4.554354249678043E-3</v>
      </c>
      <c r="I92" s="2">
        <f t="shared" si="12"/>
        <v>1.5581051154943343E-2</v>
      </c>
      <c r="J92" s="4">
        <v>0.89333333333333176</v>
      </c>
      <c r="K92" s="2">
        <f t="shared" si="13"/>
        <v>-0.50462107208872531</v>
      </c>
    </row>
    <row r="93" spans="1:11" x14ac:dyDescent="0.2">
      <c r="A93" s="1" t="s">
        <v>92</v>
      </c>
      <c r="B93" s="1" t="str">
        <f t="shared" si="8"/>
        <v>2017</v>
      </c>
      <c r="C93" s="1" t="str">
        <f t="shared" si="9"/>
        <v>4</v>
      </c>
      <c r="D93">
        <v>12222323.2780474</v>
      </c>
      <c r="E93">
        <v>3734679.4081823202</v>
      </c>
      <c r="F93" s="2">
        <v>18299011.165620599</v>
      </c>
      <c r="G93" s="2">
        <f t="shared" si="10"/>
        <v>2.2889440761724524E-2</v>
      </c>
      <c r="H93" s="2">
        <f t="shared" si="11"/>
        <v>-1.8173116334935992E-2</v>
      </c>
      <c r="I93" s="2">
        <f t="shared" si="12"/>
        <v>1.8112994516833507E-2</v>
      </c>
      <c r="J93" s="4">
        <v>0.83333333333333304</v>
      </c>
      <c r="K93" s="2">
        <f t="shared" si="13"/>
        <v>-0.61890243902439024</v>
      </c>
    </row>
    <row r="94" spans="1:11" x14ac:dyDescent="0.2">
      <c r="A94" s="1" t="s">
        <v>93</v>
      </c>
      <c r="B94" s="1" t="str">
        <f t="shared" si="8"/>
        <v>2018</v>
      </c>
      <c r="C94" s="1" t="str">
        <f t="shared" si="9"/>
        <v>1</v>
      </c>
      <c r="D94">
        <v>12463240.134933</v>
      </c>
      <c r="E94">
        <v>3822073.2463494502</v>
      </c>
      <c r="F94" s="2">
        <v>18511530.7284448</v>
      </c>
      <c r="G94" s="2">
        <f t="shared" si="10"/>
        <v>3.3302115751665078E-2</v>
      </c>
      <c r="H94" s="2">
        <f t="shared" si="11"/>
        <v>2.8828366016096878E-2</v>
      </c>
      <c r="I94" s="2">
        <f t="shared" si="12"/>
        <v>2.4932703723996596E-2</v>
      </c>
      <c r="J94" s="4">
        <v>2.4400000000000004</v>
      </c>
      <c r="K94" s="2">
        <f t="shared" si="13"/>
        <v>0.71428571428571508</v>
      </c>
    </row>
    <row r="95" spans="1:11" x14ac:dyDescent="0.2">
      <c r="A95" s="1" t="s">
        <v>94</v>
      </c>
      <c r="B95" s="1" t="str">
        <f t="shared" si="8"/>
        <v>2018</v>
      </c>
      <c r="C95" s="1" t="str">
        <f t="shared" si="9"/>
        <v>2</v>
      </c>
      <c r="D95">
        <v>12450881.0259712</v>
      </c>
      <c r="E95">
        <v>3804532.21433347</v>
      </c>
      <c r="F95" s="2">
        <v>18518193.4557871</v>
      </c>
      <c r="G95" s="2">
        <f t="shared" si="10"/>
        <v>2.5464002278523343E-2</v>
      </c>
      <c r="H95" s="2">
        <f t="shared" si="11"/>
        <v>2.719319721424723E-2</v>
      </c>
      <c r="I95" s="2">
        <f t="shared" si="12"/>
        <v>2.1771923751228821E-2</v>
      </c>
      <c r="J95" s="4">
        <v>3.3033333333333328</v>
      </c>
      <c r="K95" s="2">
        <f t="shared" si="13"/>
        <v>2.5776173285198531</v>
      </c>
    </row>
    <row r="96" spans="1:11" x14ac:dyDescent="0.2">
      <c r="A96" s="1" t="s">
        <v>95</v>
      </c>
      <c r="B96" s="1" t="str">
        <f t="shared" si="8"/>
        <v>2018</v>
      </c>
      <c r="C96" s="1" t="str">
        <f t="shared" si="9"/>
        <v>3</v>
      </c>
      <c r="D96">
        <v>12474857.7937745</v>
      </c>
      <c r="E96">
        <v>3758164.2442803099</v>
      </c>
      <c r="F96" s="2">
        <v>18547858.752121601</v>
      </c>
      <c r="G96" s="2">
        <f t="shared" si="10"/>
        <v>2.6405861838070734E-2</v>
      </c>
      <c r="H96" s="2">
        <f t="shared" si="11"/>
        <v>7.5035637613046647E-3</v>
      </c>
      <c r="I96" s="2">
        <f t="shared" si="12"/>
        <v>2.7751404277330548E-2</v>
      </c>
      <c r="J96" s="4">
        <v>3.1966666666666672</v>
      </c>
      <c r="K96" s="2">
        <f t="shared" si="13"/>
        <v>2.5783582089552306</v>
      </c>
    </row>
    <row r="97" spans="1:11" x14ac:dyDescent="0.2">
      <c r="A97" s="1" t="s">
        <v>96</v>
      </c>
      <c r="B97" s="1" t="str">
        <f t="shared" si="8"/>
        <v>2018</v>
      </c>
      <c r="C97" s="1" t="str">
        <f t="shared" si="9"/>
        <v>4</v>
      </c>
      <c r="D97">
        <v>12420543.5306716</v>
      </c>
      <c r="E97">
        <v>3632915.5067795501</v>
      </c>
      <c r="F97" s="2">
        <v>18531202.512231499</v>
      </c>
      <c r="G97" s="2">
        <f t="shared" si="10"/>
        <v>1.6217886576460096E-2</v>
      </c>
      <c r="H97" s="2">
        <f t="shared" si="11"/>
        <v>-2.7248363321310858E-2</v>
      </c>
      <c r="I97" s="2">
        <f t="shared" si="12"/>
        <v>1.2688737359050919E-2</v>
      </c>
      <c r="J97" s="4">
        <v>3.4433333333333325</v>
      </c>
      <c r="K97" s="2">
        <f>(J97-J93)/ABS(J93)</f>
        <v>3.1320000000000006</v>
      </c>
    </row>
    <row r="98" spans="1:11" x14ac:dyDescent="0.2">
      <c r="A98" s="2" t="s">
        <v>107</v>
      </c>
      <c r="B98" s="2" t="str">
        <f t="shared" si="8"/>
        <v>2019</v>
      </c>
      <c r="C98" s="2" t="str">
        <f t="shared" si="9"/>
        <v>1</v>
      </c>
      <c r="D98" s="2">
        <v>12498565.5328339</v>
      </c>
      <c r="E98" s="2">
        <v>3739250.75686885</v>
      </c>
      <c r="F98" s="2">
        <v>18579602.7452817</v>
      </c>
      <c r="G98" s="2">
        <f t="shared" ref="G98:G103" si="14">(D98-D94)/ABS(D94)</f>
        <v>2.8343671082680117E-3</v>
      </c>
      <c r="H98" s="2">
        <f t="shared" ref="H98:H103" si="15">(E98-E94)/ABS(E94)</f>
        <v>-2.1669519169918026E-2</v>
      </c>
      <c r="I98" s="2">
        <f t="shared" ref="I98:I103" si="16">(F98-F94)/ABS(F94)</f>
        <v>3.677276495146934E-3</v>
      </c>
      <c r="J98" s="4">
        <v>4.4533333333333331</v>
      </c>
      <c r="K98" s="2">
        <f t="shared" ref="K98:K104" si="17">(J98-J94)/ABS(J94)</f>
        <v>0.82513661202185751</v>
      </c>
    </row>
    <row r="99" spans="1:11" x14ac:dyDescent="0.2">
      <c r="A99" s="2" t="s">
        <v>108</v>
      </c>
      <c r="B99" s="2" t="str">
        <f t="shared" si="8"/>
        <v>2019</v>
      </c>
      <c r="C99" s="2" t="str">
        <f t="shared" si="9"/>
        <v>2</v>
      </c>
      <c r="D99" s="2">
        <v>12550326.1369082</v>
      </c>
      <c r="E99" s="2">
        <v>3599029.14060156</v>
      </c>
      <c r="F99" s="2">
        <v>18561892.819200501</v>
      </c>
      <c r="G99" s="2">
        <f t="shared" si="14"/>
        <v>7.9869939106772848E-3</v>
      </c>
      <c r="H99" s="2">
        <f t="shared" si="15"/>
        <v>-5.4015332806930327E-2</v>
      </c>
      <c r="I99" s="2">
        <f t="shared" si="16"/>
        <v>2.3598070469311632E-3</v>
      </c>
      <c r="J99">
        <v>4.2933333333333321</v>
      </c>
      <c r="K99" s="2">
        <f t="shared" si="17"/>
        <v>0.29969727547931369</v>
      </c>
    </row>
    <row r="100" spans="1:11" x14ac:dyDescent="0.2">
      <c r="A100" s="2" t="s">
        <v>109</v>
      </c>
      <c r="B100" s="2" t="str">
        <f t="shared" si="8"/>
        <v>2019</v>
      </c>
      <c r="C100" s="2" t="str">
        <f t="shared" si="9"/>
        <v>3</v>
      </c>
      <c r="D100" s="2">
        <v>12561763.8128429</v>
      </c>
      <c r="E100" s="2">
        <v>3518764.7993049701</v>
      </c>
      <c r="F100" s="2">
        <v>18525001.1858465</v>
      </c>
      <c r="G100" s="2">
        <f t="shared" si="14"/>
        <v>6.9664937673092637E-3</v>
      </c>
      <c r="H100" s="2">
        <f t="shared" si="15"/>
        <v>-6.3701166158368613E-2</v>
      </c>
      <c r="I100" s="2">
        <f t="shared" si="16"/>
        <v>-1.2323560676504822E-3</v>
      </c>
      <c r="J100">
        <v>5.0366666666666671</v>
      </c>
      <c r="K100" s="2">
        <f t="shared" si="17"/>
        <v>0.57559958289885282</v>
      </c>
    </row>
    <row r="101" spans="1:11" x14ac:dyDescent="0.2">
      <c r="A101" s="2" t="s">
        <v>110</v>
      </c>
      <c r="B101" s="2" t="str">
        <f t="shared" si="8"/>
        <v>2019</v>
      </c>
      <c r="C101" s="2" t="str">
        <f t="shared" si="9"/>
        <v>4</v>
      </c>
      <c r="D101" s="2">
        <v>12500829.697531199</v>
      </c>
      <c r="E101" s="2">
        <v>3468210.0932711302</v>
      </c>
      <c r="F101" s="2">
        <v>18406850.075731602</v>
      </c>
      <c r="G101" s="2">
        <f t="shared" si="14"/>
        <v>6.4639817622584844E-3</v>
      </c>
      <c r="H101" s="2">
        <f t="shared" si="15"/>
        <v>-4.5336978853776133E-2</v>
      </c>
      <c r="I101" s="2">
        <f t="shared" si="16"/>
        <v>-6.7104353545226602E-3</v>
      </c>
      <c r="J101">
        <v>4.9166666666666661</v>
      </c>
      <c r="K101" s="2">
        <f t="shared" si="17"/>
        <v>0.42787996127783173</v>
      </c>
    </row>
    <row r="102" spans="1:11" x14ac:dyDescent="0.2">
      <c r="A102" s="2" t="s">
        <v>111</v>
      </c>
      <c r="B102" s="2" t="str">
        <f t="shared" si="8"/>
        <v>2020</v>
      </c>
      <c r="C102" s="2" t="str">
        <f t="shared" si="9"/>
        <v>1</v>
      </c>
      <c r="D102" s="2">
        <v>12322308.267329801</v>
      </c>
      <c r="E102" s="2">
        <v>3396438.3699972499</v>
      </c>
      <c r="F102" s="2">
        <v>18179062.839198001</v>
      </c>
      <c r="G102" s="2">
        <f t="shared" si="14"/>
        <v>-1.4102199571708387E-2</v>
      </c>
      <c r="H102" s="2">
        <f t="shared" si="15"/>
        <v>-9.1679432368066735E-2</v>
      </c>
      <c r="I102" s="2">
        <f t="shared" si="16"/>
        <v>-2.1558044678076694E-2</v>
      </c>
      <c r="J102">
        <v>3.9433333333333329</v>
      </c>
      <c r="K102" s="2">
        <f t="shared" si="17"/>
        <v>-0.11452095808383239</v>
      </c>
    </row>
    <row r="103" spans="1:11" x14ac:dyDescent="0.2">
      <c r="A103" s="2" t="s">
        <v>112</v>
      </c>
      <c r="B103" s="2" t="str">
        <f t="shared" si="8"/>
        <v>2020</v>
      </c>
      <c r="C103" s="2" t="str">
        <f t="shared" si="9"/>
        <v>2</v>
      </c>
      <c r="D103" s="2">
        <v>9909705.3244374506</v>
      </c>
      <c r="E103" s="2">
        <v>2385857.25240089</v>
      </c>
      <c r="F103" s="2">
        <v>15097536.2707412</v>
      </c>
      <c r="G103" s="2">
        <f t="shared" si="14"/>
        <v>-0.2104025651337593</v>
      </c>
      <c r="H103" s="2">
        <f t="shared" si="15"/>
        <v>-0.33708309680368254</v>
      </c>
      <c r="I103" s="2">
        <f t="shared" si="16"/>
        <v>-0.18663810755742299</v>
      </c>
      <c r="J103">
        <v>3.2899999999999991</v>
      </c>
      <c r="K103" s="2">
        <f t="shared" si="17"/>
        <v>-0.23369565217391303</v>
      </c>
    </row>
    <row r="104" spans="1:11" x14ac:dyDescent="0.2">
      <c r="A104" s="2" t="s">
        <v>113</v>
      </c>
      <c r="B104" s="2" t="str">
        <f t="shared" si="8"/>
        <v>2020</v>
      </c>
      <c r="C104" s="2" t="str">
        <f t="shared" si="9"/>
        <v>3</v>
      </c>
      <c r="D104" s="2">
        <v>10965265.6197387</v>
      </c>
      <c r="E104" s="2">
        <v>2886231.6214866498</v>
      </c>
      <c r="F104" s="2">
        <v>16927083.3469272</v>
      </c>
      <c r="G104" s="2">
        <f>(D104-D100)/ABS(D100)</f>
        <v>-0.12709188111560987</v>
      </c>
      <c r="H104" s="2">
        <f>(E104-E100)/ABS(E100)</f>
        <v>-0.17976000497198868</v>
      </c>
      <c r="I104" s="2">
        <f>(F104-F100)/ABS(F100)</f>
        <v>-8.6257367699395571E-2</v>
      </c>
      <c r="J104">
        <v>1.0799999999999996</v>
      </c>
      <c r="K104" s="2">
        <f t="shared" si="17"/>
        <v>-0.78557246856386509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encadenada</vt:lpstr>
    </vt:vector>
  </TitlesOfParts>
  <Company>Instituto Nacional de Información Estadística y Geográfica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 generada del Banco de Información Económica</dc:title>
  <dc:subject>Banco de Información Económica</dc:subject>
  <dc:creator>INEGI</dc:creator>
  <dc:description>Este archivo fue generado en la fecha(del servidor de aplicaciones): 2/5/2021 4:05:10 PM</dc:description>
  <cp:lastModifiedBy>LAPTOP</cp:lastModifiedBy>
  <dcterms:created xsi:type="dcterms:W3CDTF">2021-02-05T22:36:08Z</dcterms:created>
  <dcterms:modified xsi:type="dcterms:W3CDTF">2021-03-02T21:49:56Z</dcterms:modified>
</cp:coreProperties>
</file>