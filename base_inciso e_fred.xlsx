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ma\OneDrive\Escritorio\Segundo Semestre\Macro 2\Tarea 2\"/>
    </mc:Choice>
  </mc:AlternateContent>
  <xr:revisionPtr revIDLastSave="0" documentId="13_ncr:1_{33C8C1D8-A1A6-4EB7-8BF1-79CEF615DE8A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Base encadenada" sheetId="7" r:id="rId1"/>
  </sheets>
  <calcPr calcId="191029"/>
</workbook>
</file>

<file path=xl/calcChain.xml><?xml version="1.0" encoding="utf-8"?>
<calcChain xmlns="http://schemas.openxmlformats.org/spreadsheetml/2006/main">
  <c r="M158" i="7" l="1"/>
  <c r="M159" i="7"/>
  <c r="M160" i="7"/>
  <c r="M161" i="7"/>
  <c r="M162" i="7"/>
  <c r="M163" i="7"/>
  <c r="M164" i="7"/>
  <c r="M157" i="7"/>
  <c r="K164" i="7"/>
  <c r="J164" i="7"/>
  <c r="I164" i="7"/>
  <c r="H164" i="7"/>
  <c r="H158" i="7"/>
  <c r="I158" i="7"/>
  <c r="J158" i="7"/>
  <c r="K158" i="7"/>
  <c r="H159" i="7"/>
  <c r="I159" i="7"/>
  <c r="J159" i="7"/>
  <c r="K159" i="7"/>
  <c r="H160" i="7"/>
  <c r="I160" i="7"/>
  <c r="J160" i="7"/>
  <c r="K160" i="7"/>
  <c r="H161" i="7"/>
  <c r="I161" i="7"/>
  <c r="J161" i="7"/>
  <c r="K161" i="7"/>
  <c r="H162" i="7"/>
  <c r="I162" i="7"/>
  <c r="J162" i="7"/>
  <c r="K162" i="7"/>
  <c r="H163" i="7"/>
  <c r="I163" i="7"/>
  <c r="J163" i="7"/>
  <c r="K163" i="7"/>
  <c r="H157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6" i="7"/>
  <c r="K157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J157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6" i="7"/>
  <c r="K6" i="7"/>
  <c r="I6" i="7"/>
  <c r="H10" i="7"/>
  <c r="H9" i="7"/>
  <c r="H8" i="7"/>
  <c r="H7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6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2" i="7"/>
</calcChain>
</file>

<file path=xl/sharedStrings.xml><?xml version="1.0" encoding="utf-8"?>
<sst xmlns="http://schemas.openxmlformats.org/spreadsheetml/2006/main" count="176" uniqueCount="176">
  <si>
    <t>Periodo</t>
  </si>
  <si>
    <t>1980/01</t>
  </si>
  <si>
    <t>1980/02</t>
  </si>
  <si>
    <t>1980/03</t>
  </si>
  <si>
    <t>1980/04</t>
  </si>
  <si>
    <t>1981/01</t>
  </si>
  <si>
    <t>1981/02</t>
  </si>
  <si>
    <t>1981/03</t>
  </si>
  <si>
    <t>1981/04</t>
  </si>
  <si>
    <t>1982/01</t>
  </si>
  <si>
    <t>1982/02</t>
  </si>
  <si>
    <t>1982/03</t>
  </si>
  <si>
    <t>1982/04</t>
  </si>
  <si>
    <t>1983/01</t>
  </si>
  <si>
    <t>1983/02</t>
  </si>
  <si>
    <t>1983/03</t>
  </si>
  <si>
    <t>1983/04</t>
  </si>
  <si>
    <t>1984/01</t>
  </si>
  <si>
    <t>1984/02</t>
  </si>
  <si>
    <t>1984/03</t>
  </si>
  <si>
    <t>1984/04</t>
  </si>
  <si>
    <t>1985/01</t>
  </si>
  <si>
    <t>1985/02</t>
  </si>
  <si>
    <t>1985/03</t>
  </si>
  <si>
    <t>1985/04</t>
  </si>
  <si>
    <t>1986/01</t>
  </si>
  <si>
    <t>1986/02</t>
  </si>
  <si>
    <t>1986/03</t>
  </si>
  <si>
    <t>1986/04</t>
  </si>
  <si>
    <t>1987/01</t>
  </si>
  <si>
    <t>1987/02</t>
  </si>
  <si>
    <t>1987/03</t>
  </si>
  <si>
    <t>1987/04</t>
  </si>
  <si>
    <t>1988/01</t>
  </si>
  <si>
    <t>1988/02</t>
  </si>
  <si>
    <t>1988/03</t>
  </si>
  <si>
    <t>1988/04</t>
  </si>
  <si>
    <t>1989/01</t>
  </si>
  <si>
    <t>1989/02</t>
  </si>
  <si>
    <t>1989/03</t>
  </si>
  <si>
    <t>1989/04</t>
  </si>
  <si>
    <t>1990/01</t>
  </si>
  <si>
    <t>1990/02</t>
  </si>
  <si>
    <t>1990/03</t>
  </si>
  <si>
    <t>1990/04</t>
  </si>
  <si>
    <t>1991/01</t>
  </si>
  <si>
    <t>1991/02</t>
  </si>
  <si>
    <t>1991/03</t>
  </si>
  <si>
    <t>1991/04</t>
  </si>
  <si>
    <t>1992/01</t>
  </si>
  <si>
    <t>1992/02</t>
  </si>
  <si>
    <t>1992/03</t>
  </si>
  <si>
    <t>1992/04</t>
  </si>
  <si>
    <t>1993/01</t>
  </si>
  <si>
    <t>1993/02</t>
  </si>
  <si>
    <t>1993/03</t>
  </si>
  <si>
    <t>1993/04</t>
  </si>
  <si>
    <t>1994/01</t>
  </si>
  <si>
    <t>1994/02</t>
  </si>
  <si>
    <t>1994/03</t>
  </si>
  <si>
    <t>1994/04</t>
  </si>
  <si>
    <t>1995/01</t>
  </si>
  <si>
    <t>1995/02</t>
  </si>
  <si>
    <t>1995/03</t>
  </si>
  <si>
    <t>1995/04</t>
  </si>
  <si>
    <t>1996/01</t>
  </si>
  <si>
    <t>1996/02</t>
  </si>
  <si>
    <t>1996/03</t>
  </si>
  <si>
    <t>1996/04</t>
  </si>
  <si>
    <t>1997/01</t>
  </si>
  <si>
    <t>1997/02</t>
  </si>
  <si>
    <t>1997/03</t>
  </si>
  <si>
    <t>1997/04</t>
  </si>
  <si>
    <t>1998/01</t>
  </si>
  <si>
    <t>1998/02</t>
  </si>
  <si>
    <t>1998/03</t>
  </si>
  <si>
    <t>1998/04</t>
  </si>
  <si>
    <t>1999/01</t>
  </si>
  <si>
    <t>1999/02</t>
  </si>
  <si>
    <t>1999/03</t>
  </si>
  <si>
    <t>1999/04</t>
  </si>
  <si>
    <t>2000/01</t>
  </si>
  <si>
    <t>2000/02</t>
  </si>
  <si>
    <t>2000/03</t>
  </si>
  <si>
    <t>2000/04</t>
  </si>
  <si>
    <t>2001/01</t>
  </si>
  <si>
    <t>2001/02</t>
  </si>
  <si>
    <t>2001/03</t>
  </si>
  <si>
    <t>2001/04</t>
  </si>
  <si>
    <t>2002/01</t>
  </si>
  <si>
    <t>2002/02</t>
  </si>
  <si>
    <t>2002/03</t>
  </si>
  <si>
    <t>2002/04</t>
  </si>
  <si>
    <t>2003/01</t>
  </si>
  <si>
    <t>2003/02</t>
  </si>
  <si>
    <t>2003/03</t>
  </si>
  <si>
    <t>2003/04</t>
  </si>
  <si>
    <t>2004/01</t>
  </si>
  <si>
    <t>2004/02</t>
  </si>
  <si>
    <t>2004/03</t>
  </si>
  <si>
    <t>2004/04</t>
  </si>
  <si>
    <t>2005/01</t>
  </si>
  <si>
    <t>2005/02</t>
  </si>
  <si>
    <t>2005/03</t>
  </si>
  <si>
    <t>2005/04</t>
  </si>
  <si>
    <t>2006/01</t>
  </si>
  <si>
    <t>2006/02</t>
  </si>
  <si>
    <t>2006/03</t>
  </si>
  <si>
    <t>2006/04</t>
  </si>
  <si>
    <t>2007/01</t>
  </si>
  <si>
    <t>2007/02</t>
  </si>
  <si>
    <t>2007/03</t>
  </si>
  <si>
    <t>2007/04</t>
  </si>
  <si>
    <t>2008/01</t>
  </si>
  <si>
    <t>2008/02</t>
  </si>
  <si>
    <t>2008/03</t>
  </si>
  <si>
    <t>2008/04</t>
  </si>
  <si>
    <t>2009/01</t>
  </si>
  <si>
    <t>2009/02</t>
  </si>
  <si>
    <t>2009/03</t>
  </si>
  <si>
    <t>2009/04</t>
  </si>
  <si>
    <t>2010/01</t>
  </si>
  <si>
    <t>2010/02</t>
  </si>
  <si>
    <t>2010/03</t>
  </si>
  <si>
    <t>2010/04</t>
  </si>
  <si>
    <t>2011/01</t>
  </si>
  <si>
    <t>2011/02</t>
  </si>
  <si>
    <t>2011/03</t>
  </si>
  <si>
    <t>2011/04</t>
  </si>
  <si>
    <t>2012/01</t>
  </si>
  <si>
    <t>2012/02</t>
  </si>
  <si>
    <t>2012/03</t>
  </si>
  <si>
    <t>2012/04</t>
  </si>
  <si>
    <t>2013/01</t>
  </si>
  <si>
    <t>2013/02</t>
  </si>
  <si>
    <t>2013/03</t>
  </si>
  <si>
    <t>2013/04</t>
  </si>
  <si>
    <t>2014/01</t>
  </si>
  <si>
    <t>2014/02</t>
  </si>
  <si>
    <t>2014/03</t>
  </si>
  <si>
    <t>2014/04</t>
  </si>
  <si>
    <t>2015/01</t>
  </si>
  <si>
    <t>2015/02</t>
  </si>
  <si>
    <t>2015/03</t>
  </si>
  <si>
    <t>2015/04</t>
  </si>
  <si>
    <t>2016/01</t>
  </si>
  <si>
    <t>2016/02</t>
  </si>
  <si>
    <t>2016/03</t>
  </si>
  <si>
    <t>2016/04</t>
  </si>
  <si>
    <t>2017/01</t>
  </si>
  <si>
    <t>2017/02</t>
  </si>
  <si>
    <t>2017/03</t>
  </si>
  <si>
    <t>2017/04</t>
  </si>
  <si>
    <t>2018/01</t>
  </si>
  <si>
    <t>2018/02</t>
  </si>
  <si>
    <t>2018/03</t>
  </si>
  <si>
    <t>2018/04</t>
  </si>
  <si>
    <t>C</t>
  </si>
  <si>
    <t>G</t>
  </si>
  <si>
    <t>I</t>
  </si>
  <si>
    <t>Y</t>
  </si>
  <si>
    <t>year</t>
  </si>
  <si>
    <t>q</t>
  </si>
  <si>
    <t>dC</t>
  </si>
  <si>
    <t>dG</t>
  </si>
  <si>
    <t>dI</t>
  </si>
  <si>
    <t>dY</t>
  </si>
  <si>
    <t>r_fred</t>
  </si>
  <si>
    <t>dr_fred</t>
  </si>
  <si>
    <t>2019/01</t>
  </si>
  <si>
    <t>2019/02</t>
  </si>
  <si>
    <t>2019/03</t>
  </si>
  <si>
    <t>2019/04</t>
  </si>
  <si>
    <t>2020/01</t>
  </si>
  <si>
    <t>2020/02</t>
  </si>
  <si>
    <t>2020/03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</si>
</sst>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4"/>
  <sheetViews>
    <sheetView tabSelected="1" topLeftCell="B1" zoomScale="125" zoomScaleNormal="100" workbookViewId="0">
      <pane ySplit="1" topLeftCell="A147" activePane="bottomLeft" state="frozen"/>
      <selection pane="bottomLeft" activeCell="N163" sqref="N163"/>
    </sheetView>
  </sheetViews>
  <sheetFormatPr baseColWidth="10" defaultRowHeight="12.75" x14ac:dyDescent="0.2"/>
  <cols>
    <col min="1" max="3" width="11.42578125" style="1"/>
    <col min="4" max="5" width="11.42578125" customWidth="1"/>
    <col min="8" max="8" width="12.28515625" customWidth="1"/>
    <col min="9" max="9" width="11.42578125" customWidth="1"/>
  </cols>
  <sheetData>
    <row r="1" spans="1:13" x14ac:dyDescent="0.2">
      <c r="A1" s="1" t="s">
        <v>0</v>
      </c>
      <c r="B1" s="1" t="s">
        <v>161</v>
      </c>
      <c r="C1" s="1" t="s">
        <v>162</v>
      </c>
      <c r="D1" t="s">
        <v>157</v>
      </c>
      <c r="E1" t="s">
        <v>158</v>
      </c>
      <c r="F1" t="s">
        <v>159</v>
      </c>
      <c r="G1" s="2" t="s">
        <v>160</v>
      </c>
      <c r="H1" t="s">
        <v>163</v>
      </c>
      <c r="I1" t="s">
        <v>164</v>
      </c>
      <c r="J1" t="s">
        <v>165</v>
      </c>
      <c r="K1" t="s">
        <v>166</v>
      </c>
      <c r="L1" s="3" t="s">
        <v>167</v>
      </c>
      <c r="M1" s="3" t="s">
        <v>168</v>
      </c>
    </row>
    <row r="2" spans="1:13" x14ac:dyDescent="0.2">
      <c r="A2" s="1" t="s">
        <v>1</v>
      </c>
      <c r="B2" s="1" t="str">
        <f>LEFT(A2,4)</f>
        <v>1980</v>
      </c>
      <c r="C2" s="1" t="str">
        <f>RIGHT(A2,1)</f>
        <v>1</v>
      </c>
      <c r="D2">
        <v>4405100.4954862976</v>
      </c>
      <c r="E2">
        <v>944172.9871810535</v>
      </c>
      <c r="F2">
        <v>1830689.0302523484</v>
      </c>
      <c r="G2" s="2">
        <v>7477954.1947088102</v>
      </c>
      <c r="L2">
        <v>-4.0399999999999991</v>
      </c>
    </row>
    <row r="3" spans="1:13" x14ac:dyDescent="0.2">
      <c r="A3" s="1" t="s">
        <v>2</v>
      </c>
      <c r="B3" s="1" t="str">
        <f t="shared" ref="B3:B66" si="0">LEFT(A3,4)</f>
        <v>1980</v>
      </c>
      <c r="C3" s="1" t="str">
        <f t="shared" ref="C3:C66" si="1">RIGHT(A3,1)</f>
        <v>2</v>
      </c>
      <c r="D3">
        <v>4481979.566567488</v>
      </c>
      <c r="E3">
        <v>1021315.158578541</v>
      </c>
      <c r="F3">
        <v>1870637.2418610584</v>
      </c>
      <c r="G3" s="2">
        <v>7501150.2146873605</v>
      </c>
      <c r="H3" s="2"/>
      <c r="I3" s="2"/>
      <c r="J3" s="2"/>
      <c r="K3" s="2"/>
      <c r="L3">
        <v>-4.8866666666666632</v>
      </c>
    </row>
    <row r="4" spans="1:13" x14ac:dyDescent="0.2">
      <c r="A4" s="1" t="s">
        <v>3</v>
      </c>
      <c r="B4" s="1" t="str">
        <f t="shared" si="0"/>
        <v>1980</v>
      </c>
      <c r="C4" s="1" t="str">
        <f t="shared" si="1"/>
        <v>3</v>
      </c>
      <c r="D4">
        <v>4591456.5720649473</v>
      </c>
      <c r="E4">
        <v>1032912.585064254</v>
      </c>
      <c r="F4">
        <v>1932530.9028932571</v>
      </c>
      <c r="G4" s="2">
        <v>7677706.5819106596</v>
      </c>
      <c r="H4" s="2"/>
      <c r="I4" s="2"/>
      <c r="J4" s="2"/>
      <c r="K4" s="2"/>
      <c r="L4">
        <v>-7.4033333333333324</v>
      </c>
      <c r="M4" s="2"/>
    </row>
    <row r="5" spans="1:13" x14ac:dyDescent="0.2">
      <c r="A5" s="1" t="s">
        <v>4</v>
      </c>
      <c r="B5" s="1" t="str">
        <f t="shared" si="0"/>
        <v>1980</v>
      </c>
      <c r="C5" s="1" t="str">
        <f t="shared" si="1"/>
        <v>4</v>
      </c>
      <c r="D5">
        <v>4704050.2255430752</v>
      </c>
      <c r="E5">
        <v>1051832.8845666251</v>
      </c>
      <c r="F5">
        <v>1952503.8735014223</v>
      </c>
      <c r="G5" s="2">
        <v>7913463.6990197403</v>
      </c>
      <c r="H5" s="2"/>
      <c r="I5" s="2"/>
      <c r="J5" s="2"/>
      <c r="K5" s="2"/>
      <c r="L5">
        <v>-5.793333333333333</v>
      </c>
      <c r="M5" s="2"/>
    </row>
    <row r="6" spans="1:13" x14ac:dyDescent="0.2">
      <c r="A6" s="1" t="s">
        <v>5</v>
      </c>
      <c r="B6" s="1" t="str">
        <f t="shared" si="0"/>
        <v>1981</v>
      </c>
      <c r="C6" s="1" t="str">
        <f t="shared" si="1"/>
        <v>1</v>
      </c>
      <c r="D6">
        <v>4739121.4611853929</v>
      </c>
      <c r="E6">
        <v>1027596.8554149136</v>
      </c>
      <c r="F6">
        <v>2126359.8489838946</v>
      </c>
      <c r="G6" s="2">
        <v>8155985.5785214398</v>
      </c>
      <c r="H6" s="2">
        <f>(D6-D2)/ABS(D2)</f>
        <v>7.5825958123169057E-2</v>
      </c>
      <c r="I6" s="2">
        <f>(E6-E2)/ABS(E2)</f>
        <v>8.8356550511927381E-2</v>
      </c>
      <c r="J6" s="2">
        <f>(F6-F2)/ABS(F2)</f>
        <v>0.16150794255362413</v>
      </c>
      <c r="K6" s="2">
        <f t="shared" ref="K6:K21" si="2">(G6-G2)/ABS(G2)</f>
        <v>9.0670705671396803E-2</v>
      </c>
      <c r="L6">
        <v>-1.9433333333333316</v>
      </c>
      <c r="M6" s="2">
        <f>(L6-L2)/ABS(L2)</f>
        <v>0.51897689768976929</v>
      </c>
    </row>
    <row r="7" spans="1:13" x14ac:dyDescent="0.2">
      <c r="A7" s="1" t="s">
        <v>6</v>
      </c>
      <c r="B7" s="1" t="str">
        <f t="shared" si="0"/>
        <v>1981</v>
      </c>
      <c r="C7" s="1" t="str">
        <f t="shared" si="1"/>
        <v>2</v>
      </c>
      <c r="D7">
        <v>4813393.2337577268</v>
      </c>
      <c r="E7">
        <v>1049792.9088780971</v>
      </c>
      <c r="F7">
        <v>2237237.0645309323</v>
      </c>
      <c r="G7" s="2">
        <v>8377923.2694974197</v>
      </c>
      <c r="H7" s="2">
        <f>(D7-D3)/ABS(D3)</f>
        <v>7.394359172504017E-2</v>
      </c>
      <c r="I7" s="2">
        <f t="shared" ref="I7:I70" si="3">(E7-E3)/ABS(E3)</f>
        <v>2.7883410972956858E-2</v>
      </c>
      <c r="J7" s="2">
        <f t="shared" ref="J7:K70" si="4">(F7-F3)/ABS(F3)</f>
        <v>0.19597590300573262</v>
      </c>
      <c r="K7" s="2">
        <f t="shared" si="2"/>
        <v>0.11688514823944265</v>
      </c>
      <c r="L7">
        <v>-1.110000000000003</v>
      </c>
      <c r="M7" s="2">
        <f t="shared" ref="M7:M70" si="5">(L7-L3)/ABS(L3)</f>
        <v>0.77285129604365543</v>
      </c>
    </row>
    <row r="8" spans="1:13" x14ac:dyDescent="0.2">
      <c r="A8" s="1" t="s">
        <v>7</v>
      </c>
      <c r="B8" s="1" t="str">
        <f t="shared" si="0"/>
        <v>1981</v>
      </c>
      <c r="C8" s="1" t="str">
        <f t="shared" si="1"/>
        <v>3</v>
      </c>
      <c r="D8">
        <v>4928971.9089508681</v>
      </c>
      <c r="E8">
        <v>1279141.4160889422</v>
      </c>
      <c r="F8">
        <v>2226316.4509190493</v>
      </c>
      <c r="G8" s="2">
        <v>8423516.2005015593</v>
      </c>
      <c r="H8" s="2">
        <f>(D8-D4)/ABS(D4)</f>
        <v>7.3509425949797813E-2</v>
      </c>
      <c r="I8" s="2">
        <f t="shared" si="3"/>
        <v>0.23838302929513744</v>
      </c>
      <c r="J8" s="2">
        <f t="shared" si="4"/>
        <v>0.15202113849044069</v>
      </c>
      <c r="K8" s="2">
        <f t="shared" si="2"/>
        <v>9.7139635467196894E-2</v>
      </c>
      <c r="L8">
        <v>2.6033333333333317</v>
      </c>
      <c r="M8" s="2">
        <f t="shared" si="5"/>
        <v>1.3516434038721294</v>
      </c>
    </row>
    <row r="9" spans="1:13" x14ac:dyDescent="0.2">
      <c r="A9" s="1" t="s">
        <v>8</v>
      </c>
      <c r="B9" s="1" t="str">
        <f t="shared" si="0"/>
        <v>1981</v>
      </c>
      <c r="C9" s="1" t="str">
        <f t="shared" si="1"/>
        <v>4</v>
      </c>
      <c r="D9">
        <v>4960935.7781116357</v>
      </c>
      <c r="E9">
        <v>1143482.04182187</v>
      </c>
      <c r="F9">
        <v>2204367.4382617353</v>
      </c>
      <c r="G9" s="2">
        <v>8519345.7114901207</v>
      </c>
      <c r="H9" s="2">
        <f>(D9-D5)/ABS(D5)</f>
        <v>5.4609440854535826E-2</v>
      </c>
      <c r="I9" s="2">
        <f t="shared" si="3"/>
        <v>8.7132812255633255E-2</v>
      </c>
      <c r="J9" s="2">
        <f t="shared" si="4"/>
        <v>0.1289951677835324</v>
      </c>
      <c r="K9" s="2">
        <f t="shared" si="2"/>
        <v>7.6563441182580072E-2</v>
      </c>
      <c r="L9">
        <v>3.053333333333331</v>
      </c>
      <c r="M9" s="2">
        <f t="shared" si="5"/>
        <v>1.5270425776754888</v>
      </c>
    </row>
    <row r="10" spans="1:13" x14ac:dyDescent="0.2">
      <c r="A10" s="1" t="s">
        <v>9</v>
      </c>
      <c r="B10" s="1" t="str">
        <f t="shared" si="0"/>
        <v>1982</v>
      </c>
      <c r="C10" s="1" t="str">
        <f t="shared" si="1"/>
        <v>1</v>
      </c>
      <c r="D10">
        <v>4952326.7756786589</v>
      </c>
      <c r="E10">
        <v>1138948.8886196751</v>
      </c>
      <c r="F10">
        <v>2129242.0597792966</v>
      </c>
      <c r="G10" s="2">
        <v>8433913.1606848091</v>
      </c>
      <c r="H10" s="2">
        <f>(D10-D6)/ABS(D6)</f>
        <v>4.4988362556113312E-2</v>
      </c>
      <c r="I10" s="2">
        <f t="shared" si="3"/>
        <v>0.10836159396361791</v>
      </c>
      <c r="J10" s="2">
        <f t="shared" si="4"/>
        <v>1.3554670893449001E-3</v>
      </c>
      <c r="K10" s="2">
        <f t="shared" si="2"/>
        <v>3.4076517115881597E-2</v>
      </c>
      <c r="L10">
        <v>0.37666666666666515</v>
      </c>
      <c r="M10" s="2">
        <f t="shared" si="5"/>
        <v>1.1938250428816461</v>
      </c>
    </row>
    <row r="11" spans="1:13" x14ac:dyDescent="0.2">
      <c r="A11" s="1" t="s">
        <v>10</v>
      </c>
      <c r="B11" s="1" t="str">
        <f t="shared" si="0"/>
        <v>1982</v>
      </c>
      <c r="C11" s="1" t="str">
        <f t="shared" si="1"/>
        <v>2</v>
      </c>
      <c r="D11">
        <v>4886402.4287413312</v>
      </c>
      <c r="E11">
        <v>1136834.991298483</v>
      </c>
      <c r="F11">
        <v>1964284.3781502566</v>
      </c>
      <c r="G11" s="2">
        <v>8443660.9148891699</v>
      </c>
      <c r="H11" s="2">
        <f t="shared" ref="H11:H70" si="6">(D11-D7)/ABS(D7)</f>
        <v>1.516792654121206E-2</v>
      </c>
      <c r="I11" s="2">
        <f t="shared" si="3"/>
        <v>8.2913574367164372E-2</v>
      </c>
      <c r="J11" s="2">
        <f t="shared" si="4"/>
        <v>-0.1220043645387683</v>
      </c>
      <c r="K11" s="2">
        <f t="shared" si="2"/>
        <v>7.8465322821813892E-3</v>
      </c>
      <c r="L11">
        <v>-7.5033333333333303</v>
      </c>
      <c r="M11" s="2">
        <f t="shared" si="5"/>
        <v>-5.7597597597597385</v>
      </c>
    </row>
    <row r="12" spans="1:13" x14ac:dyDescent="0.2">
      <c r="A12" s="1" t="s">
        <v>11</v>
      </c>
      <c r="B12" s="1" t="str">
        <f t="shared" si="0"/>
        <v>1982</v>
      </c>
      <c r="C12" s="1" t="str">
        <f t="shared" si="1"/>
        <v>3</v>
      </c>
      <c r="D12">
        <v>4737437.1942184558</v>
      </c>
      <c r="E12">
        <v>1173150.7109742938</v>
      </c>
      <c r="F12">
        <v>1799944.1886976489</v>
      </c>
      <c r="G12" s="2">
        <v>8400412.37385525</v>
      </c>
      <c r="H12" s="2">
        <f t="shared" si="6"/>
        <v>-3.8858958474604174E-2</v>
      </c>
      <c r="I12" s="2">
        <f t="shared" si="3"/>
        <v>-8.2860818812920539E-2</v>
      </c>
      <c r="J12" s="2">
        <f t="shared" si="4"/>
        <v>-0.19151467081213408</v>
      </c>
      <c r="K12" s="2">
        <f t="shared" si="2"/>
        <v>-2.7427770180977014E-3</v>
      </c>
      <c r="L12">
        <v>-19.659999999999997</v>
      </c>
      <c r="M12" s="2">
        <f t="shared" si="5"/>
        <v>-8.5518565941101183</v>
      </c>
    </row>
    <row r="13" spans="1:13" x14ac:dyDescent="0.2">
      <c r="A13" s="1" t="s">
        <v>12</v>
      </c>
      <c r="B13" s="1" t="str">
        <f t="shared" si="0"/>
        <v>1982</v>
      </c>
      <c r="C13" s="1" t="str">
        <f t="shared" si="1"/>
        <v>4</v>
      </c>
      <c r="D13">
        <v>4688984.7952449108</v>
      </c>
      <c r="E13">
        <v>1092733.3351977465</v>
      </c>
      <c r="F13">
        <v>1420008.1091874442</v>
      </c>
      <c r="G13" s="2">
        <v>8203897.9174686205</v>
      </c>
      <c r="H13" s="2">
        <f t="shared" si="6"/>
        <v>-5.4818484864612022E-2</v>
      </c>
      <c r="I13" s="2">
        <f t="shared" si="3"/>
        <v>-4.4380851441503492E-2</v>
      </c>
      <c r="J13" s="2">
        <f t="shared" si="4"/>
        <v>-0.35582059300095698</v>
      </c>
      <c r="K13" s="2">
        <f t="shared" si="2"/>
        <v>-3.7027232454723946E-2</v>
      </c>
      <c r="L13">
        <v>-41.570000000000007</v>
      </c>
      <c r="M13" s="2">
        <f t="shared" si="5"/>
        <v>-14.614628820960711</v>
      </c>
    </row>
    <row r="14" spans="1:13" x14ac:dyDescent="0.2">
      <c r="A14" s="1" t="s">
        <v>13</v>
      </c>
      <c r="B14" s="1" t="str">
        <f t="shared" si="0"/>
        <v>1983</v>
      </c>
      <c r="C14" s="1" t="str">
        <f t="shared" si="1"/>
        <v>1</v>
      </c>
      <c r="D14">
        <v>4614069.3652902329</v>
      </c>
      <c r="E14">
        <v>1149659.9267597708</v>
      </c>
      <c r="F14">
        <v>1317325.3786044919</v>
      </c>
      <c r="G14" s="2">
        <v>8069525.4031931804</v>
      </c>
      <c r="H14" s="2">
        <f t="shared" si="6"/>
        <v>-6.8302724297120254E-2</v>
      </c>
      <c r="I14" s="2">
        <f t="shared" si="3"/>
        <v>9.4043185318673835E-3</v>
      </c>
      <c r="J14" s="2">
        <f t="shared" si="4"/>
        <v>-0.38131722856299516</v>
      </c>
      <c r="K14" s="2">
        <f t="shared" si="2"/>
        <v>-4.3205063954208582E-2</v>
      </c>
      <c r="L14">
        <v>-59.230000000000004</v>
      </c>
      <c r="M14" s="2">
        <f t="shared" si="5"/>
        <v>-158.24778761062012</v>
      </c>
    </row>
    <row r="15" spans="1:13" x14ac:dyDescent="0.2">
      <c r="A15" s="1" t="s">
        <v>14</v>
      </c>
      <c r="B15" s="1" t="str">
        <f t="shared" si="0"/>
        <v>1983</v>
      </c>
      <c r="C15" s="1" t="str">
        <f t="shared" si="1"/>
        <v>2</v>
      </c>
      <c r="D15">
        <v>4605250.964709687</v>
      </c>
      <c r="E15">
        <v>1111560.7567185389</v>
      </c>
      <c r="F15">
        <v>1290868.4657883081</v>
      </c>
      <c r="G15" s="2">
        <v>7925776.4821493197</v>
      </c>
      <c r="H15" s="2">
        <f t="shared" si="6"/>
        <v>-5.7537517249487954E-2</v>
      </c>
      <c r="I15" s="2">
        <f t="shared" si="3"/>
        <v>-2.2232104723550111E-2</v>
      </c>
      <c r="J15" s="2">
        <f t="shared" si="4"/>
        <v>-0.34283015221863972</v>
      </c>
      <c r="K15" s="2">
        <f t="shared" si="2"/>
        <v>-6.1334110637559607E-2</v>
      </c>
      <c r="L15">
        <v>-56.793333333333344</v>
      </c>
      <c r="M15" s="2">
        <f t="shared" si="5"/>
        <v>-6.5690804087072454</v>
      </c>
    </row>
    <row r="16" spans="1:13" x14ac:dyDescent="0.2">
      <c r="A16" s="1" t="s">
        <v>15</v>
      </c>
      <c r="B16" s="1" t="str">
        <f t="shared" si="0"/>
        <v>1983</v>
      </c>
      <c r="C16" s="1" t="str">
        <f t="shared" si="1"/>
        <v>3</v>
      </c>
      <c r="D16">
        <v>4605596.9386423975</v>
      </c>
      <c r="E16">
        <v>1128825.3956553719</v>
      </c>
      <c r="F16">
        <v>1294283.1152654742</v>
      </c>
      <c r="G16" s="2">
        <v>7957273.3537187204</v>
      </c>
      <c r="H16" s="2">
        <f t="shared" si="6"/>
        <v>-2.7829446633499535E-2</v>
      </c>
      <c r="I16" s="2">
        <f t="shared" si="3"/>
        <v>-3.7783138094942582E-2</v>
      </c>
      <c r="J16" s="2">
        <f t="shared" si="4"/>
        <v>-0.28093152921482872</v>
      </c>
      <c r="K16" s="2">
        <f t="shared" si="2"/>
        <v>-5.2752055543811023E-2</v>
      </c>
      <c r="L16">
        <v>-43.083333333333329</v>
      </c>
      <c r="M16" s="2">
        <f t="shared" si="5"/>
        <v>-1.1914208206171586</v>
      </c>
    </row>
    <row r="17" spans="1:13" x14ac:dyDescent="0.2">
      <c r="A17" s="1" t="s">
        <v>16</v>
      </c>
      <c r="B17" s="1" t="str">
        <f t="shared" si="0"/>
        <v>1983</v>
      </c>
      <c r="C17" s="1" t="str">
        <f t="shared" si="1"/>
        <v>4</v>
      </c>
      <c r="D17">
        <v>4629427.9653669</v>
      </c>
      <c r="E17">
        <v>1207362.975343972</v>
      </c>
      <c r="F17">
        <v>1379560.1327585853</v>
      </c>
      <c r="G17" s="2">
        <v>8061813.5259008603</v>
      </c>
      <c r="H17" s="2">
        <f t="shared" si="6"/>
        <v>-1.2701433781232825E-2</v>
      </c>
      <c r="I17" s="2">
        <f t="shared" si="3"/>
        <v>0.10490175091572684</v>
      </c>
      <c r="J17" s="2">
        <f t="shared" si="4"/>
        <v>-2.8484327777539273E-2</v>
      </c>
      <c r="K17" s="2">
        <f t="shared" si="2"/>
        <v>-1.731913207564648E-2</v>
      </c>
      <c r="L17">
        <v>-30.879999999999988</v>
      </c>
      <c r="M17" s="2">
        <f t="shared" si="5"/>
        <v>0.25715660331970214</v>
      </c>
    </row>
    <row r="18" spans="1:13" x14ac:dyDescent="0.2">
      <c r="A18" s="1" t="s">
        <v>17</v>
      </c>
      <c r="B18" s="1" t="str">
        <f t="shared" si="0"/>
        <v>1984</v>
      </c>
      <c r="C18" s="1" t="str">
        <f t="shared" si="1"/>
        <v>1</v>
      </c>
      <c r="D18">
        <v>4714793.8924388466</v>
      </c>
      <c r="E18">
        <v>1239690.5868910169</v>
      </c>
      <c r="F18">
        <v>1307768.730319585</v>
      </c>
      <c r="G18" s="2">
        <v>8289025.7384302504</v>
      </c>
      <c r="H18" s="2">
        <f t="shared" si="6"/>
        <v>2.1829868425109374E-2</v>
      </c>
      <c r="I18" s="2">
        <f t="shared" si="3"/>
        <v>7.8310688261519781E-2</v>
      </c>
      <c r="J18" s="2">
        <f t="shared" si="4"/>
        <v>-7.2545845089774389E-3</v>
      </c>
      <c r="K18" s="2">
        <f t="shared" si="2"/>
        <v>2.7201145577930991E-2</v>
      </c>
      <c r="L18">
        <v>-18.246666666666663</v>
      </c>
      <c r="M18" s="2">
        <f t="shared" si="5"/>
        <v>0.69193539310034335</v>
      </c>
    </row>
    <row r="19" spans="1:13" x14ac:dyDescent="0.2">
      <c r="A19" s="1" t="s">
        <v>18</v>
      </c>
      <c r="B19" s="1" t="str">
        <f t="shared" si="0"/>
        <v>1984</v>
      </c>
      <c r="C19" s="1" t="str">
        <f t="shared" si="1"/>
        <v>2</v>
      </c>
      <c r="D19">
        <v>4715231.8222619519</v>
      </c>
      <c r="E19">
        <v>1222767.9154278063</v>
      </c>
      <c r="F19">
        <v>1344070.0792554654</v>
      </c>
      <c r="G19" s="2">
        <v>8184666.4018139103</v>
      </c>
      <c r="H19" s="2">
        <f t="shared" si="6"/>
        <v>2.3881620870405261E-2</v>
      </c>
      <c r="I19" s="2">
        <f t="shared" si="3"/>
        <v>0.10004595613609489</v>
      </c>
      <c r="J19" s="2">
        <f t="shared" si="4"/>
        <v>4.1213814480058716E-2</v>
      </c>
      <c r="K19" s="2">
        <f t="shared" si="2"/>
        <v>3.2664297340162261E-2</v>
      </c>
      <c r="L19">
        <v>-17.336666666666673</v>
      </c>
      <c r="M19" s="2">
        <f t="shared" si="5"/>
        <v>0.69474116680361542</v>
      </c>
    </row>
    <row r="20" spans="1:13" x14ac:dyDescent="0.2">
      <c r="A20" s="1" t="s">
        <v>19</v>
      </c>
      <c r="B20" s="1" t="str">
        <f t="shared" si="0"/>
        <v>1984</v>
      </c>
      <c r="C20" s="1" t="str">
        <f t="shared" si="1"/>
        <v>3</v>
      </c>
      <c r="D20">
        <v>4787210.1517715817</v>
      </c>
      <c r="E20">
        <v>1242579.340245652</v>
      </c>
      <c r="F20">
        <v>1504283.5159593804</v>
      </c>
      <c r="G20" s="2">
        <v>8334978.3305152999</v>
      </c>
      <c r="H20" s="2">
        <f t="shared" si="6"/>
        <v>3.9433153953484859E-2</v>
      </c>
      <c r="I20" s="2">
        <f t="shared" si="3"/>
        <v>0.10077195731784272</v>
      </c>
      <c r="J20" s="2">
        <f t="shared" si="4"/>
        <v>0.16225229103049255</v>
      </c>
      <c r="K20" s="2">
        <f t="shared" si="2"/>
        <v>4.7466633356269508E-2</v>
      </c>
      <c r="L20">
        <v>-12.596666666666664</v>
      </c>
      <c r="M20" s="2">
        <f t="shared" si="5"/>
        <v>0.70762088974854931</v>
      </c>
    </row>
    <row r="21" spans="1:13" x14ac:dyDescent="0.2">
      <c r="A21" s="1" t="s">
        <v>20</v>
      </c>
      <c r="B21" s="1" t="str">
        <f t="shared" si="0"/>
        <v>1984</v>
      </c>
      <c r="C21" s="1" t="str">
        <f t="shared" si="1"/>
        <v>4</v>
      </c>
      <c r="D21">
        <v>4750472.1570797283</v>
      </c>
      <c r="E21">
        <v>1221393.6824164153</v>
      </c>
      <c r="F21">
        <v>1476899.7955608731</v>
      </c>
      <c r="G21" s="2">
        <v>8320319.8728279304</v>
      </c>
      <c r="H21" s="2">
        <f t="shared" si="6"/>
        <v>2.6146684345964358E-2</v>
      </c>
      <c r="I21" s="2">
        <f t="shared" si="3"/>
        <v>1.1620951908390307E-2</v>
      </c>
      <c r="J21" s="2">
        <f t="shared" si="4"/>
        <v>7.0558477655951302E-2</v>
      </c>
      <c r="K21" s="2">
        <f t="shared" si="2"/>
        <v>3.2065532909753516E-2</v>
      </c>
      <c r="L21">
        <v>-12.043333333333329</v>
      </c>
      <c r="M21" s="2">
        <f t="shared" si="5"/>
        <v>0.6099956822107081</v>
      </c>
    </row>
    <row r="22" spans="1:13" x14ac:dyDescent="0.2">
      <c r="A22" s="1" t="s">
        <v>21</v>
      </c>
      <c r="B22" s="1" t="str">
        <f t="shared" si="0"/>
        <v>1985</v>
      </c>
      <c r="C22" s="1" t="str">
        <f t="shared" si="1"/>
        <v>1</v>
      </c>
      <c r="D22">
        <v>4869427.4881586647</v>
      </c>
      <c r="E22">
        <v>1219609.7560532233</v>
      </c>
      <c r="F22">
        <v>1530531.4579506614</v>
      </c>
      <c r="G22" s="2">
        <v>8451101.3321280107</v>
      </c>
      <c r="H22" s="2">
        <f t="shared" si="6"/>
        <v>3.2797530336968743E-2</v>
      </c>
      <c r="I22" s="2">
        <f t="shared" si="3"/>
        <v>-1.6198260316030767E-2</v>
      </c>
      <c r="J22" s="2">
        <f t="shared" si="4"/>
        <v>0.17033801349313421</v>
      </c>
      <c r="K22" s="2">
        <f t="shared" si="4"/>
        <v>1.9553032987499639E-2</v>
      </c>
      <c r="L22">
        <v>-11.453333333333326</v>
      </c>
      <c r="M22" s="2">
        <f t="shared" si="5"/>
        <v>0.3723054439166974</v>
      </c>
    </row>
    <row r="23" spans="1:13" x14ac:dyDescent="0.2">
      <c r="A23" s="1" t="s">
        <v>22</v>
      </c>
      <c r="B23" s="1" t="str">
        <f t="shared" si="0"/>
        <v>1985</v>
      </c>
      <c r="C23" s="1" t="str">
        <f t="shared" si="1"/>
        <v>2</v>
      </c>
      <c r="D23">
        <v>4899170.4529971685</v>
      </c>
      <c r="E23">
        <v>1303355.5656426651</v>
      </c>
      <c r="F23">
        <v>1535718.2526403186</v>
      </c>
      <c r="G23" s="2">
        <v>8406389.3856131695</v>
      </c>
      <c r="H23" s="2">
        <f t="shared" si="6"/>
        <v>3.9009456516388021E-2</v>
      </c>
      <c r="I23" s="2">
        <f t="shared" si="3"/>
        <v>6.5905924745059935E-2</v>
      </c>
      <c r="J23" s="2">
        <f t="shared" si="4"/>
        <v>0.14258793223863359</v>
      </c>
      <c r="K23" s="2">
        <f t="shared" si="4"/>
        <v>2.7090045325502854E-2</v>
      </c>
      <c r="L23">
        <v>-1.4833333333333343</v>
      </c>
      <c r="M23" s="2">
        <f t="shared" si="5"/>
        <v>0.91443953085945007</v>
      </c>
    </row>
    <row r="24" spans="1:13" x14ac:dyDescent="0.2">
      <c r="A24" s="1" t="s">
        <v>23</v>
      </c>
      <c r="B24" s="1" t="str">
        <f t="shared" si="0"/>
        <v>1985</v>
      </c>
      <c r="C24" s="1" t="str">
        <f t="shared" si="1"/>
        <v>3</v>
      </c>
      <c r="D24">
        <v>4894568.3474836629</v>
      </c>
      <c r="E24">
        <v>1212096.277082131</v>
      </c>
      <c r="F24">
        <v>1537698.2857691431</v>
      </c>
      <c r="G24" s="2">
        <v>8447493.7991160303</v>
      </c>
      <c r="H24" s="2">
        <f t="shared" si="6"/>
        <v>2.2426046133017907E-2</v>
      </c>
      <c r="I24" s="2">
        <f t="shared" si="3"/>
        <v>-2.4532085941083363E-2</v>
      </c>
      <c r="J24" s="2">
        <f t="shared" si="4"/>
        <v>2.2213079818568588E-2</v>
      </c>
      <c r="K24" s="2">
        <f t="shared" si="4"/>
        <v>1.349919149625123E-2</v>
      </c>
      <c r="L24">
        <v>3.2466666666666555</v>
      </c>
      <c r="M24" s="2">
        <f t="shared" si="5"/>
        <v>1.2577401428949448</v>
      </c>
    </row>
    <row r="25" spans="1:13" x14ac:dyDescent="0.2">
      <c r="A25" s="1" t="s">
        <v>24</v>
      </c>
      <c r="B25" s="1" t="str">
        <f t="shared" si="0"/>
        <v>1985</v>
      </c>
      <c r="C25" s="1" t="str">
        <f t="shared" si="1"/>
        <v>4</v>
      </c>
      <c r="D25">
        <v>4873054.9503540741</v>
      </c>
      <c r="E25">
        <v>1240189.4455574255</v>
      </c>
      <c r="F25">
        <v>1492611.8024602996</v>
      </c>
      <c r="G25" s="2">
        <v>8432879.7611821909</v>
      </c>
      <c r="H25" s="2">
        <f t="shared" si="6"/>
        <v>2.5804338857487692E-2</v>
      </c>
      <c r="I25" s="2">
        <f t="shared" si="3"/>
        <v>1.53887836588646E-2</v>
      </c>
      <c r="J25" s="2">
        <f t="shared" si="4"/>
        <v>1.0638505704078323E-2</v>
      </c>
      <c r="K25" s="2">
        <f t="shared" si="4"/>
        <v>1.352831262195252E-2</v>
      </c>
      <c r="L25">
        <v>3.25</v>
      </c>
      <c r="M25" s="2">
        <f t="shared" si="5"/>
        <v>1.2698588430667037</v>
      </c>
    </row>
    <row r="26" spans="1:13" x14ac:dyDescent="0.2">
      <c r="A26" s="1" t="s">
        <v>25</v>
      </c>
      <c r="B26" s="1" t="str">
        <f t="shared" si="0"/>
        <v>1986</v>
      </c>
      <c r="C26" s="1" t="str">
        <f t="shared" si="1"/>
        <v>1</v>
      </c>
      <c r="D26">
        <v>4902230.473337112</v>
      </c>
      <c r="E26">
        <v>1234418.3308743318</v>
      </c>
      <c r="F26">
        <v>1474542.1755159404</v>
      </c>
      <c r="G26" s="2">
        <v>8267713.4548521498</v>
      </c>
      <c r="H26" s="2">
        <f t="shared" si="6"/>
        <v>6.7365178469577167E-3</v>
      </c>
      <c r="I26" s="2">
        <f t="shared" si="3"/>
        <v>1.2142059988951291E-2</v>
      </c>
      <c r="J26" s="2">
        <f t="shared" si="4"/>
        <v>-3.6581595330088208E-2</v>
      </c>
      <c r="K26" s="2">
        <f t="shared" si="4"/>
        <v>-2.169987911264144E-2</v>
      </c>
      <c r="L26">
        <v>3.5733333333333235</v>
      </c>
      <c r="M26" s="2">
        <f t="shared" si="5"/>
        <v>1.3119906868451681</v>
      </c>
    </row>
    <row r="27" spans="1:13" x14ac:dyDescent="0.2">
      <c r="A27" s="1" t="s">
        <v>26</v>
      </c>
      <c r="B27" s="1" t="str">
        <f t="shared" si="0"/>
        <v>1986</v>
      </c>
      <c r="C27" s="1" t="str">
        <f t="shared" si="1"/>
        <v>2</v>
      </c>
      <c r="D27">
        <v>4808972.3178792149</v>
      </c>
      <c r="E27">
        <v>1241750.3593580874</v>
      </c>
      <c r="F27">
        <v>1387500.7197264535</v>
      </c>
      <c r="G27" s="2">
        <v>8172223.3377010496</v>
      </c>
      <c r="H27" s="2">
        <f t="shared" si="6"/>
        <v>-1.8410899556020363E-2</v>
      </c>
      <c r="I27" s="2">
        <f t="shared" si="3"/>
        <v>-4.726661542600704E-2</v>
      </c>
      <c r="J27" s="2">
        <f t="shared" si="4"/>
        <v>-9.6513493057101246E-2</v>
      </c>
      <c r="K27" s="2">
        <f t="shared" si="4"/>
        <v>-2.7855722257272002E-2</v>
      </c>
      <c r="L27">
        <v>-1.7500000000000142</v>
      </c>
      <c r="M27" s="2">
        <f t="shared" si="5"/>
        <v>-0.17977528089888523</v>
      </c>
    </row>
    <row r="28" spans="1:13" x14ac:dyDescent="0.2">
      <c r="A28" s="1" t="s">
        <v>27</v>
      </c>
      <c r="B28" s="1" t="str">
        <f t="shared" si="0"/>
        <v>1986</v>
      </c>
      <c r="C28" s="1" t="str">
        <f t="shared" si="1"/>
        <v>3</v>
      </c>
      <c r="D28">
        <v>4742908.0892912606</v>
      </c>
      <c r="E28">
        <v>1280600.5599716001</v>
      </c>
      <c r="F28">
        <v>1275128.5007271999</v>
      </c>
      <c r="G28" s="2">
        <v>8048584.9387223804</v>
      </c>
      <c r="H28" s="2">
        <f t="shared" si="6"/>
        <v>-3.0985420454976806E-2</v>
      </c>
      <c r="I28" s="2">
        <f t="shared" si="3"/>
        <v>5.6517196022067513E-2</v>
      </c>
      <c r="J28" s="2">
        <f t="shared" si="4"/>
        <v>-0.17075507430289427</v>
      </c>
      <c r="K28" s="2">
        <f t="shared" si="4"/>
        <v>-4.7222154863894999E-2</v>
      </c>
      <c r="L28">
        <v>-6.8566666666666833</v>
      </c>
      <c r="M28" s="2">
        <f t="shared" si="5"/>
        <v>-3.1119096509240372</v>
      </c>
    </row>
    <row r="29" spans="1:13" x14ac:dyDescent="0.2">
      <c r="A29" s="1" t="s">
        <v>28</v>
      </c>
      <c r="B29" s="1" t="str">
        <f t="shared" si="0"/>
        <v>1986</v>
      </c>
      <c r="C29" s="1" t="str">
        <f t="shared" si="1"/>
        <v>4</v>
      </c>
      <c r="D29">
        <v>4663584.3102712082</v>
      </c>
      <c r="E29">
        <v>1283310.6777406936</v>
      </c>
      <c r="F29">
        <v>1252935.8709851592</v>
      </c>
      <c r="G29" s="2">
        <v>7999553.56476463</v>
      </c>
      <c r="H29" s="2">
        <f t="shared" si="6"/>
        <v>-4.2985486972119187E-2</v>
      </c>
      <c r="I29" s="2">
        <f t="shared" si="3"/>
        <v>3.4769875149103888E-2</v>
      </c>
      <c r="J29" s="2">
        <f t="shared" si="4"/>
        <v>-0.16057486017468048</v>
      </c>
      <c r="K29" s="2">
        <f t="shared" si="4"/>
        <v>-5.1385316604681854E-2</v>
      </c>
      <c r="L29">
        <v>-9.3333333333333286</v>
      </c>
      <c r="M29" s="2">
        <f t="shared" si="5"/>
        <v>-3.8717948717948705</v>
      </c>
    </row>
    <row r="30" spans="1:13" x14ac:dyDescent="0.2">
      <c r="A30" s="1" t="s">
        <v>29</v>
      </c>
      <c r="B30" s="1" t="str">
        <f t="shared" si="0"/>
        <v>1987</v>
      </c>
      <c r="C30" s="1" t="str">
        <f t="shared" si="1"/>
        <v>1</v>
      </c>
      <c r="D30">
        <v>4656671.7997905137</v>
      </c>
      <c r="E30">
        <v>1272912.3174192153</v>
      </c>
      <c r="F30">
        <v>1223015.765698567</v>
      </c>
      <c r="G30" s="2">
        <v>8078073.4337318996</v>
      </c>
      <c r="H30" s="2">
        <f t="shared" si="6"/>
        <v>-5.0091213557211293E-2</v>
      </c>
      <c r="I30" s="2">
        <f t="shared" si="3"/>
        <v>3.1183907093811948E-2</v>
      </c>
      <c r="J30" s="2">
        <f t="shared" si="4"/>
        <v>-0.17057932556548586</v>
      </c>
      <c r="K30" s="2">
        <f t="shared" si="4"/>
        <v>-2.2937420624919509E-2</v>
      </c>
      <c r="L30">
        <v>-13.149999999999991</v>
      </c>
      <c r="M30" s="2">
        <f t="shared" si="5"/>
        <v>-4.6800373134328437</v>
      </c>
    </row>
    <row r="31" spans="1:13" x14ac:dyDescent="0.2">
      <c r="A31" s="1" t="s">
        <v>30</v>
      </c>
      <c r="B31" s="1" t="str">
        <f t="shared" si="0"/>
        <v>1987</v>
      </c>
      <c r="C31" s="1" t="str">
        <f t="shared" si="1"/>
        <v>2</v>
      </c>
      <c r="D31">
        <v>4788195.9491842808</v>
      </c>
      <c r="E31">
        <v>1253937.9629621482</v>
      </c>
      <c r="F31">
        <v>1379163.8585279109</v>
      </c>
      <c r="G31" s="2">
        <v>8295852.5726242103</v>
      </c>
      <c r="H31" s="2">
        <f t="shared" si="6"/>
        <v>-4.3203344335524399E-3</v>
      </c>
      <c r="I31" s="2">
        <f t="shared" si="3"/>
        <v>9.8148581252363084E-3</v>
      </c>
      <c r="J31" s="2">
        <f t="shared" si="4"/>
        <v>-6.0085454947989185E-3</v>
      </c>
      <c r="K31" s="2">
        <f t="shared" si="4"/>
        <v>1.5127980454574693E-2</v>
      </c>
      <c r="L31">
        <v>-29.416666666666657</v>
      </c>
      <c r="M31" s="2">
        <f t="shared" si="5"/>
        <v>-15.809523809523668</v>
      </c>
    </row>
    <row r="32" spans="1:13" x14ac:dyDescent="0.2">
      <c r="A32" s="1" t="s">
        <v>31</v>
      </c>
      <c r="B32" s="1" t="str">
        <f t="shared" si="0"/>
        <v>1987</v>
      </c>
      <c r="C32" s="1" t="str">
        <f t="shared" si="1"/>
        <v>3</v>
      </c>
      <c r="D32">
        <v>4834632.3053384367</v>
      </c>
      <c r="E32">
        <v>1218590.4735277854</v>
      </c>
      <c r="F32">
        <v>1396728.9293002442</v>
      </c>
      <c r="G32" s="2">
        <v>8359300.2098935395</v>
      </c>
      <c r="H32" s="2">
        <f t="shared" si="6"/>
        <v>1.9339235405863124E-2</v>
      </c>
      <c r="I32" s="2">
        <f t="shared" si="3"/>
        <v>-4.8422660728174194E-2</v>
      </c>
      <c r="J32" s="2">
        <f t="shared" si="4"/>
        <v>9.5363273978815527E-2</v>
      </c>
      <c r="K32" s="2">
        <f t="shared" si="4"/>
        <v>3.8604956465860638E-2</v>
      </c>
      <c r="L32">
        <v>-42.14</v>
      </c>
      <c r="M32" s="2">
        <f t="shared" si="5"/>
        <v>-5.1458434613514683</v>
      </c>
    </row>
    <row r="33" spans="1:13" x14ac:dyDescent="0.2">
      <c r="A33" s="1" t="s">
        <v>32</v>
      </c>
      <c r="B33" s="1" t="str">
        <f t="shared" si="0"/>
        <v>1987</v>
      </c>
      <c r="C33" s="1" t="str">
        <f t="shared" si="1"/>
        <v>4</v>
      </c>
      <c r="D33">
        <v>4861782.2058893163</v>
      </c>
      <c r="E33">
        <v>1216313.027033244</v>
      </c>
      <c r="F33">
        <v>1410667.419257835</v>
      </c>
      <c r="G33" s="2">
        <v>8434074.4616875406</v>
      </c>
      <c r="H33" s="2">
        <f t="shared" si="6"/>
        <v>4.2499048463987568E-2</v>
      </c>
      <c r="I33" s="2">
        <f t="shared" si="3"/>
        <v>-5.2206883235321376E-2</v>
      </c>
      <c r="J33" s="2">
        <f t="shared" si="4"/>
        <v>0.12588956220772463</v>
      </c>
      <c r="K33" s="2">
        <f t="shared" si="4"/>
        <v>5.4318143307000341E-2</v>
      </c>
      <c r="L33">
        <v>-52.286666666666619</v>
      </c>
      <c r="M33" s="2">
        <f t="shared" si="5"/>
        <v>-4.6021428571428551</v>
      </c>
    </row>
    <row r="34" spans="1:13" x14ac:dyDescent="0.2">
      <c r="A34" s="1" t="s">
        <v>33</v>
      </c>
      <c r="B34" s="1" t="str">
        <f t="shared" si="0"/>
        <v>1988</v>
      </c>
      <c r="C34" s="1" t="str">
        <f t="shared" si="1"/>
        <v>1</v>
      </c>
      <c r="D34">
        <v>4792180.8829060132</v>
      </c>
      <c r="E34">
        <v>1233860.7590052148</v>
      </c>
      <c r="F34">
        <v>1411803.3865176074</v>
      </c>
      <c r="G34" s="2">
        <v>8377983.6261011697</v>
      </c>
      <c r="H34" s="2">
        <f t="shared" si="6"/>
        <v>2.9099985771296039E-2</v>
      </c>
      <c r="I34" s="2">
        <f t="shared" si="3"/>
        <v>-3.0678906849747674E-2</v>
      </c>
      <c r="J34" s="2">
        <f t="shared" si="4"/>
        <v>0.15436237709593864</v>
      </c>
      <c r="K34" s="2">
        <f t="shared" si="4"/>
        <v>3.7126450363390413E-2</v>
      </c>
      <c r="L34">
        <v>-52.269999999999996</v>
      </c>
      <c r="M34" s="2">
        <f t="shared" si="5"/>
        <v>-2.9749049429657819</v>
      </c>
    </row>
    <row r="35" spans="1:13" x14ac:dyDescent="0.2">
      <c r="A35" s="1" t="s">
        <v>34</v>
      </c>
      <c r="B35" s="1" t="str">
        <f t="shared" si="0"/>
        <v>1988</v>
      </c>
      <c r="C35" s="1" t="str">
        <f t="shared" si="1"/>
        <v>2</v>
      </c>
      <c r="D35">
        <v>4785545.7446908979</v>
      </c>
      <c r="E35">
        <v>1237783.3260323594</v>
      </c>
      <c r="F35">
        <v>1419387.7183946064</v>
      </c>
      <c r="G35" s="2">
        <v>8354353.16915642</v>
      </c>
      <c r="H35" s="2">
        <f t="shared" si="6"/>
        <v>-5.5348705890669232E-4</v>
      </c>
      <c r="I35" s="2">
        <f t="shared" si="3"/>
        <v>-1.288312293506701E-2</v>
      </c>
      <c r="J35" s="2">
        <f t="shared" si="4"/>
        <v>2.9165395843268067E-2</v>
      </c>
      <c r="K35" s="2">
        <f t="shared" si="4"/>
        <v>7.0517883508752375E-3</v>
      </c>
      <c r="L35">
        <v>-85.563333333333333</v>
      </c>
      <c r="M35" s="2">
        <f t="shared" si="5"/>
        <v>-1.908668555240794</v>
      </c>
    </row>
    <row r="36" spans="1:13" x14ac:dyDescent="0.2">
      <c r="A36" s="1" t="s">
        <v>35</v>
      </c>
      <c r="B36" s="1" t="str">
        <f t="shared" si="0"/>
        <v>1988</v>
      </c>
      <c r="C36" s="1" t="str">
        <f t="shared" si="1"/>
        <v>3</v>
      </c>
      <c r="D36">
        <v>4820615.6712143281</v>
      </c>
      <c r="E36">
        <v>1206459.3597274725</v>
      </c>
      <c r="F36">
        <v>1452588.6327666934</v>
      </c>
      <c r="G36" s="2">
        <v>8365595.4769586101</v>
      </c>
      <c r="H36" s="2">
        <f t="shared" si="6"/>
        <v>-2.8992140950680613E-3</v>
      </c>
      <c r="I36" s="2">
        <f t="shared" si="3"/>
        <v>-9.9550374501071077E-3</v>
      </c>
      <c r="J36" s="2">
        <f t="shared" si="4"/>
        <v>3.9993231538803069E-2</v>
      </c>
      <c r="K36" s="2">
        <f t="shared" si="4"/>
        <v>7.5308541468816837E-4</v>
      </c>
      <c r="L36">
        <v>-67.81</v>
      </c>
      <c r="M36" s="2">
        <f t="shared" si="5"/>
        <v>-0.60915994304698629</v>
      </c>
    </row>
    <row r="37" spans="1:13" x14ac:dyDescent="0.2">
      <c r="A37" s="1" t="s">
        <v>36</v>
      </c>
      <c r="B37" s="1" t="str">
        <f t="shared" si="0"/>
        <v>1988</v>
      </c>
      <c r="C37" s="1" t="str">
        <f t="shared" si="1"/>
        <v>4</v>
      </c>
      <c r="D37">
        <v>4994204.0914806211</v>
      </c>
      <c r="E37">
        <v>1228114.383989176</v>
      </c>
      <c r="F37">
        <v>1437287.562322543</v>
      </c>
      <c r="G37" s="2">
        <v>8493243.5649563503</v>
      </c>
      <c r="H37" s="2">
        <f t="shared" si="6"/>
        <v>2.7237313393202952E-2</v>
      </c>
      <c r="I37" s="2">
        <f t="shared" si="3"/>
        <v>9.7025656172713467E-3</v>
      </c>
      <c r="J37" s="2">
        <f t="shared" si="4"/>
        <v>1.8870601745883578E-2</v>
      </c>
      <c r="K37" s="2">
        <f t="shared" si="4"/>
        <v>7.0154826753771275E-3</v>
      </c>
      <c r="L37">
        <v>-25.530000000000008</v>
      </c>
      <c r="M37" s="2">
        <f t="shared" si="5"/>
        <v>0.51173020527859181</v>
      </c>
    </row>
    <row r="38" spans="1:13" x14ac:dyDescent="0.2">
      <c r="A38" s="1" t="s">
        <v>37</v>
      </c>
      <c r="B38" s="1" t="str">
        <f t="shared" si="0"/>
        <v>1989</v>
      </c>
      <c r="C38" s="1" t="str">
        <f t="shared" si="1"/>
        <v>1</v>
      </c>
      <c r="D38">
        <v>5122641.3391699232</v>
      </c>
      <c r="E38">
        <v>1240485.4058106327</v>
      </c>
      <c r="F38">
        <v>1497127.2407029737</v>
      </c>
      <c r="G38" s="2">
        <v>8650789.3840333391</v>
      </c>
      <c r="H38" s="2">
        <f t="shared" si="6"/>
        <v>6.895826020313249E-2</v>
      </c>
      <c r="I38" s="2">
        <f t="shared" si="3"/>
        <v>5.3690392186222027E-3</v>
      </c>
      <c r="J38" s="2">
        <f t="shared" si="4"/>
        <v>6.0436074173067712E-2</v>
      </c>
      <c r="K38" s="2">
        <f t="shared" si="4"/>
        <v>3.2562221425482055E-2</v>
      </c>
      <c r="L38">
        <v>21.290000000000003</v>
      </c>
      <c r="M38" s="2">
        <f t="shared" si="5"/>
        <v>1.4073082073847332</v>
      </c>
    </row>
    <row r="39" spans="1:13" x14ac:dyDescent="0.2">
      <c r="A39" s="1" t="s">
        <v>38</v>
      </c>
      <c r="B39" s="1" t="str">
        <f t="shared" si="0"/>
        <v>1989</v>
      </c>
      <c r="C39" s="1" t="str">
        <f t="shared" si="1"/>
        <v>2</v>
      </c>
      <c r="D39">
        <v>5188220.0387240592</v>
      </c>
      <c r="E39">
        <v>1249196.1875762183</v>
      </c>
      <c r="F39">
        <v>1523420.3449119958</v>
      </c>
      <c r="G39" s="2">
        <v>8639648.3986734897</v>
      </c>
      <c r="H39" s="2">
        <f t="shared" si="6"/>
        <v>8.4143860599366266E-2</v>
      </c>
      <c r="I39" s="2">
        <f t="shared" si="3"/>
        <v>9.2204033644904034E-3</v>
      </c>
      <c r="J39" s="2">
        <f t="shared" si="4"/>
        <v>7.3294016264319362E-2</v>
      </c>
      <c r="K39" s="2">
        <f t="shared" si="4"/>
        <v>3.4149290045620291E-2</v>
      </c>
      <c r="L39">
        <v>30.903333333333336</v>
      </c>
      <c r="M39" s="2">
        <f t="shared" si="5"/>
        <v>1.3611749581206904</v>
      </c>
    </row>
    <row r="40" spans="1:13" x14ac:dyDescent="0.2">
      <c r="A40" s="1" t="s">
        <v>39</v>
      </c>
      <c r="B40" s="1" t="str">
        <f t="shared" si="0"/>
        <v>1989</v>
      </c>
      <c r="C40" s="1" t="str">
        <f t="shared" si="1"/>
        <v>3</v>
      </c>
      <c r="D40">
        <v>5277660.9209344452</v>
      </c>
      <c r="E40">
        <v>1254358.6115239579</v>
      </c>
      <c r="F40">
        <v>1503036.4746496028</v>
      </c>
      <c r="G40" s="2">
        <v>8804456.3741508909</v>
      </c>
      <c r="H40" s="2">
        <f t="shared" si="6"/>
        <v>9.4810555516653738E-2</v>
      </c>
      <c r="I40" s="2">
        <f t="shared" si="3"/>
        <v>3.9702333452247711E-2</v>
      </c>
      <c r="J40" s="2">
        <f t="shared" si="4"/>
        <v>3.472961356363035E-2</v>
      </c>
      <c r="K40" s="2">
        <f t="shared" si="4"/>
        <v>5.2460210202732956E-2</v>
      </c>
      <c r="L40">
        <v>24.63333333333334</v>
      </c>
      <c r="M40" s="2">
        <f t="shared" si="5"/>
        <v>1.3632699208572974</v>
      </c>
    </row>
    <row r="41" spans="1:13" x14ac:dyDescent="0.2">
      <c r="A41" s="1" t="s">
        <v>40</v>
      </c>
      <c r="B41" s="1" t="str">
        <f t="shared" si="0"/>
        <v>1989</v>
      </c>
      <c r="C41" s="1" t="str">
        <f t="shared" si="1"/>
        <v>4</v>
      </c>
      <c r="D41">
        <v>5218060.1028038152</v>
      </c>
      <c r="E41">
        <v>1269294.2719147801</v>
      </c>
      <c r="F41">
        <v>1523405.7808306543</v>
      </c>
      <c r="G41" s="2">
        <v>8718537.6101989392</v>
      </c>
      <c r="H41" s="2">
        <f t="shared" si="6"/>
        <v>4.4823160452144815E-2</v>
      </c>
      <c r="I41" s="2">
        <f t="shared" si="3"/>
        <v>3.3530987392105215E-2</v>
      </c>
      <c r="J41" s="2">
        <f t="shared" si="4"/>
        <v>5.9917180643343969E-2</v>
      </c>
      <c r="K41" s="2">
        <f t="shared" si="4"/>
        <v>2.6526266851944078E-2</v>
      </c>
      <c r="L41">
        <v>20.326666666666664</v>
      </c>
      <c r="M41" s="2">
        <f t="shared" si="5"/>
        <v>1.7961874918396652</v>
      </c>
    </row>
    <row r="42" spans="1:13" x14ac:dyDescent="0.2">
      <c r="A42" s="1" t="s">
        <v>41</v>
      </c>
      <c r="B42" s="1" t="str">
        <f t="shared" si="0"/>
        <v>1990</v>
      </c>
      <c r="C42" s="1" t="str">
        <f t="shared" si="1"/>
        <v>1</v>
      </c>
      <c r="D42">
        <v>5345542.4829072729</v>
      </c>
      <c r="E42">
        <v>1252499.2736844949</v>
      </c>
      <c r="F42">
        <v>1596164.0284958109</v>
      </c>
      <c r="G42" s="2">
        <v>8932267.2667710707</v>
      </c>
      <c r="H42" s="2">
        <f t="shared" si="6"/>
        <v>4.3512931899594737E-2</v>
      </c>
      <c r="I42" s="2">
        <f t="shared" si="3"/>
        <v>9.6848119434434846E-3</v>
      </c>
      <c r="J42" s="2">
        <f t="shared" si="4"/>
        <v>6.6151216209475075E-2</v>
      </c>
      <c r="K42" s="2">
        <f t="shared" si="4"/>
        <v>3.2537826346489489E-2</v>
      </c>
      <c r="L42">
        <v>21.216666666666665</v>
      </c>
      <c r="M42" s="2">
        <f t="shared" si="5"/>
        <v>-3.4444966337875849E-3</v>
      </c>
    </row>
    <row r="43" spans="1:13" x14ac:dyDescent="0.2">
      <c r="A43" s="1" t="s">
        <v>42</v>
      </c>
      <c r="B43" s="1" t="str">
        <f t="shared" si="0"/>
        <v>1990</v>
      </c>
      <c r="C43" s="1" t="str">
        <f t="shared" si="1"/>
        <v>2</v>
      </c>
      <c r="D43">
        <v>5490912.7845998546</v>
      </c>
      <c r="E43">
        <v>1307545.0559238824</v>
      </c>
      <c r="F43">
        <v>1680230.3835445577</v>
      </c>
      <c r="G43" s="2">
        <v>9109691.9553123508</v>
      </c>
      <c r="H43" s="2">
        <f t="shared" si="6"/>
        <v>5.8342310776440524E-2</v>
      </c>
      <c r="I43" s="2">
        <f t="shared" si="3"/>
        <v>4.6709130981961181E-2</v>
      </c>
      <c r="J43" s="2">
        <f t="shared" si="4"/>
        <v>0.10293287677054125</v>
      </c>
      <c r="K43" s="2">
        <f t="shared" si="4"/>
        <v>5.4405403431814471E-2</v>
      </c>
      <c r="L43">
        <v>16.516666666666662</v>
      </c>
      <c r="M43" s="2">
        <f t="shared" si="5"/>
        <v>-0.46553769819868424</v>
      </c>
    </row>
    <row r="44" spans="1:13" x14ac:dyDescent="0.2">
      <c r="A44" s="1" t="s">
        <v>43</v>
      </c>
      <c r="B44" s="1" t="str">
        <f t="shared" si="0"/>
        <v>1990</v>
      </c>
      <c r="C44" s="1" t="str">
        <f t="shared" si="1"/>
        <v>3</v>
      </c>
      <c r="D44">
        <v>5647503.6511368845</v>
      </c>
      <c r="E44">
        <v>1301699.201825192</v>
      </c>
      <c r="F44">
        <v>1739833.0267035384</v>
      </c>
      <c r="G44" s="2">
        <v>9245263.6601317693</v>
      </c>
      <c r="H44" s="2">
        <f t="shared" si="6"/>
        <v>7.007701626594004E-2</v>
      </c>
      <c r="I44" s="2">
        <f t="shared" si="3"/>
        <v>3.7740873994334477E-2</v>
      </c>
      <c r="J44" s="2">
        <f t="shared" si="4"/>
        <v>0.15754544620025876</v>
      </c>
      <c r="K44" s="2">
        <f t="shared" si="4"/>
        <v>5.0066383118786278E-2</v>
      </c>
      <c r="L44">
        <v>3.8466666666666711</v>
      </c>
      <c r="M44" s="2">
        <f t="shared" si="5"/>
        <v>-0.84384303112313919</v>
      </c>
    </row>
    <row r="45" spans="1:13" x14ac:dyDescent="0.2">
      <c r="A45" s="1" t="s">
        <v>44</v>
      </c>
      <c r="B45" s="1" t="str">
        <f t="shared" si="0"/>
        <v>1990</v>
      </c>
      <c r="C45" s="1" t="str">
        <f t="shared" si="1"/>
        <v>4</v>
      </c>
      <c r="D45">
        <v>5658231.239981425</v>
      </c>
      <c r="E45">
        <v>1315754.2095403487</v>
      </c>
      <c r="F45">
        <v>1825951.7955238232</v>
      </c>
      <c r="G45" s="2">
        <v>9339919.4658504091</v>
      </c>
      <c r="H45" s="2">
        <f t="shared" si="6"/>
        <v>8.4355321423203442E-2</v>
      </c>
      <c r="I45" s="2">
        <f t="shared" si="3"/>
        <v>3.6602968006372513E-2</v>
      </c>
      <c r="J45" s="2">
        <f t="shared" si="4"/>
        <v>0.19859844205671995</v>
      </c>
      <c r="K45" s="2">
        <f t="shared" si="4"/>
        <v>7.1271339694007604E-2</v>
      </c>
      <c r="L45">
        <v>0.51666666666667282</v>
      </c>
      <c r="M45" s="2">
        <f t="shared" si="5"/>
        <v>-0.97458183010823185</v>
      </c>
    </row>
    <row r="46" spans="1:13" x14ac:dyDescent="0.2">
      <c r="A46" s="1" t="s">
        <v>45</v>
      </c>
      <c r="B46" s="1" t="str">
        <f t="shared" si="0"/>
        <v>1991</v>
      </c>
      <c r="C46" s="1" t="str">
        <f t="shared" si="1"/>
        <v>1</v>
      </c>
      <c r="D46">
        <v>5599944.0590922954</v>
      </c>
      <c r="E46">
        <v>1357862.4038795149</v>
      </c>
      <c r="F46">
        <v>1831748.7108604969</v>
      </c>
      <c r="G46" s="2">
        <v>9380525.4492858406</v>
      </c>
      <c r="H46" s="2">
        <f t="shared" si="6"/>
        <v>4.7591348679481719E-2</v>
      </c>
      <c r="I46" s="2">
        <f t="shared" si="3"/>
        <v>8.4122308418648248E-2</v>
      </c>
      <c r="J46" s="2">
        <f t="shared" si="4"/>
        <v>0.14759428113832113</v>
      </c>
      <c r="K46" s="2">
        <f t="shared" si="4"/>
        <v>5.018414352449297E-2</v>
      </c>
      <c r="L46">
        <v>-0.82333333333333059</v>
      </c>
      <c r="M46" s="2">
        <f t="shared" si="5"/>
        <v>-1.0388059701492536</v>
      </c>
    </row>
    <row r="47" spans="1:13" x14ac:dyDescent="0.2">
      <c r="A47" s="1" t="s">
        <v>46</v>
      </c>
      <c r="B47" s="1" t="str">
        <f t="shared" si="0"/>
        <v>1991</v>
      </c>
      <c r="C47" s="1" t="str">
        <f t="shared" si="1"/>
        <v>2</v>
      </c>
      <c r="D47">
        <v>5739613.8076007627</v>
      </c>
      <c r="E47">
        <v>1380948.2307118368</v>
      </c>
      <c r="F47">
        <v>1878399.2116173522</v>
      </c>
      <c r="G47" s="2">
        <v>9483446.2144181207</v>
      </c>
      <c r="H47" s="2">
        <f t="shared" si="6"/>
        <v>4.529320219735232E-2</v>
      </c>
      <c r="I47" s="2">
        <f t="shared" si="3"/>
        <v>5.6138160941681177E-2</v>
      </c>
      <c r="J47" s="2">
        <f t="shared" si="4"/>
        <v>0.11794146208375554</v>
      </c>
      <c r="K47" s="2">
        <f t="shared" si="4"/>
        <v>4.1028199519722919E-2</v>
      </c>
      <c r="L47">
        <v>-1.5166666666666728</v>
      </c>
      <c r="M47" s="2">
        <f t="shared" si="5"/>
        <v>-1.0918264379414737</v>
      </c>
    </row>
    <row r="48" spans="1:13" x14ac:dyDescent="0.2">
      <c r="A48" s="1" t="s">
        <v>47</v>
      </c>
      <c r="B48" s="1" t="str">
        <f t="shared" si="0"/>
        <v>1991</v>
      </c>
      <c r="C48" s="1" t="str">
        <f t="shared" si="1"/>
        <v>3</v>
      </c>
      <c r="D48">
        <v>5865998.2090663761</v>
      </c>
      <c r="E48">
        <v>1453096.7313844166</v>
      </c>
      <c r="F48">
        <v>1859893.116274155</v>
      </c>
      <c r="G48" s="2">
        <v>9535570.0418310594</v>
      </c>
      <c r="H48" s="2">
        <f t="shared" si="6"/>
        <v>3.8688697064499823E-2</v>
      </c>
      <c r="I48" s="2">
        <f t="shared" si="3"/>
        <v>0.11630761495969337</v>
      </c>
      <c r="J48" s="2">
        <f t="shared" si="4"/>
        <v>6.9006673472623098E-2</v>
      </c>
      <c r="K48" s="2">
        <f t="shared" si="4"/>
        <v>3.140055193354567E-2</v>
      </c>
      <c r="L48">
        <v>9.333333333333016E-2</v>
      </c>
      <c r="M48" s="2">
        <f t="shared" si="5"/>
        <v>-0.97573656845753987</v>
      </c>
    </row>
    <row r="49" spans="1:13" x14ac:dyDescent="0.2">
      <c r="A49" s="1" t="s">
        <v>48</v>
      </c>
      <c r="B49" s="1" t="str">
        <f t="shared" si="0"/>
        <v>1991</v>
      </c>
      <c r="C49" s="1" t="str">
        <f t="shared" si="1"/>
        <v>4</v>
      </c>
      <c r="D49">
        <v>5974880.6916219136</v>
      </c>
      <c r="E49">
        <v>1298228.5495734061</v>
      </c>
      <c r="F49">
        <v>2020316.5736320533</v>
      </c>
      <c r="G49" s="2">
        <v>9700045.9376650695</v>
      </c>
      <c r="H49" s="2">
        <f t="shared" si="6"/>
        <v>5.5962621216860707E-2</v>
      </c>
      <c r="I49" s="2">
        <f t="shared" si="3"/>
        <v>-1.3319858557066758E-2</v>
      </c>
      <c r="J49" s="2">
        <f t="shared" si="4"/>
        <v>0.10644573344416869</v>
      </c>
      <c r="K49" s="2">
        <f t="shared" si="4"/>
        <v>3.8557770560163011E-2</v>
      </c>
      <c r="L49">
        <v>1.110000000000003</v>
      </c>
      <c r="M49" s="2">
        <f t="shared" si="5"/>
        <v>1.1483870967741736</v>
      </c>
    </row>
    <row r="50" spans="1:13" x14ac:dyDescent="0.2">
      <c r="A50" s="1" t="s">
        <v>49</v>
      </c>
      <c r="B50" s="1" t="str">
        <f t="shared" si="0"/>
        <v>1992</v>
      </c>
      <c r="C50" s="1" t="str">
        <f t="shared" si="1"/>
        <v>1</v>
      </c>
      <c r="D50">
        <v>5767783.2027584985</v>
      </c>
      <c r="E50">
        <v>1370139.962530266</v>
      </c>
      <c r="F50">
        <v>2027479.7841817474</v>
      </c>
      <c r="G50" s="2">
        <v>9694646.4209397398</v>
      </c>
      <c r="H50" s="2">
        <f t="shared" si="6"/>
        <v>2.997157505416375E-2</v>
      </c>
      <c r="I50" s="2">
        <f t="shared" si="3"/>
        <v>9.0418282557004487E-3</v>
      </c>
      <c r="J50" s="2">
        <f t="shared" si="4"/>
        <v>0.10685476242497384</v>
      </c>
      <c r="K50" s="2">
        <f t="shared" si="4"/>
        <v>3.3486500660558825E-2</v>
      </c>
      <c r="L50">
        <v>0.57666666666666799</v>
      </c>
      <c r="M50" s="2">
        <f t="shared" si="5"/>
        <v>1.7004048582995992</v>
      </c>
    </row>
    <row r="51" spans="1:13" x14ac:dyDescent="0.2">
      <c r="A51" s="1" t="s">
        <v>50</v>
      </c>
      <c r="B51" s="1" t="str">
        <f t="shared" si="0"/>
        <v>1992</v>
      </c>
      <c r="C51" s="1" t="str">
        <f t="shared" si="1"/>
        <v>2</v>
      </c>
      <c r="D51">
        <v>6078618.9253443349</v>
      </c>
      <c r="E51">
        <v>1378783.2809465956</v>
      </c>
      <c r="F51">
        <v>2104883.3149885638</v>
      </c>
      <c r="G51" s="2">
        <v>9829920.7304533999</v>
      </c>
      <c r="H51" s="2">
        <f t="shared" si="6"/>
        <v>5.9064098928509792E-2</v>
      </c>
      <c r="I51" s="2">
        <f t="shared" si="3"/>
        <v>-1.5677269553582567E-3</v>
      </c>
      <c r="J51" s="2">
        <f t="shared" si="4"/>
        <v>0.12057293357581994</v>
      </c>
      <c r="K51" s="2">
        <f t="shared" si="4"/>
        <v>3.6534663475869991E-2</v>
      </c>
      <c r="L51">
        <v>-0.4833333333333325</v>
      </c>
      <c r="M51" s="2">
        <f t="shared" si="5"/>
        <v>0.68131868131868312</v>
      </c>
    </row>
    <row r="52" spans="1:13" x14ac:dyDescent="0.2">
      <c r="A52" s="1" t="s">
        <v>51</v>
      </c>
      <c r="B52" s="1" t="str">
        <f t="shared" si="0"/>
        <v>1992</v>
      </c>
      <c r="C52" s="1" t="str">
        <f t="shared" si="1"/>
        <v>3</v>
      </c>
      <c r="D52">
        <v>6169922.9921123497</v>
      </c>
      <c r="E52">
        <v>1399328.4989951379</v>
      </c>
      <c r="F52">
        <v>2160655.4633039515</v>
      </c>
      <c r="G52" s="2">
        <v>9965867.9120978191</v>
      </c>
      <c r="H52" s="2">
        <f t="shared" si="6"/>
        <v>5.1811264206701124E-2</v>
      </c>
      <c r="I52" s="2">
        <f t="shared" si="3"/>
        <v>-3.7002514167141384E-2</v>
      </c>
      <c r="J52" s="2">
        <f t="shared" si="4"/>
        <v>0.1617094791082947</v>
      </c>
      <c r="K52" s="2">
        <f t="shared" si="4"/>
        <v>4.5125552890819327E-2</v>
      </c>
      <c r="L52">
        <v>3.8099999999999969</v>
      </c>
      <c r="M52" s="2">
        <f t="shared" si="5"/>
        <v>39.821428571429927</v>
      </c>
    </row>
    <row r="53" spans="1:13" x14ac:dyDescent="0.2">
      <c r="A53" s="1" t="s">
        <v>52</v>
      </c>
      <c r="B53" s="1" t="str">
        <f t="shared" si="0"/>
        <v>1992</v>
      </c>
      <c r="C53" s="1" t="str">
        <f t="shared" si="1"/>
        <v>4</v>
      </c>
      <c r="D53">
        <v>6255750.0632591974</v>
      </c>
      <c r="E53">
        <v>1414101.985216659</v>
      </c>
      <c r="F53">
        <v>2125024.0634822133</v>
      </c>
      <c r="G53" s="2">
        <v>9966118.8597432207</v>
      </c>
      <c r="H53" s="2">
        <f t="shared" si="6"/>
        <v>4.700836487515541E-2</v>
      </c>
      <c r="I53" s="2">
        <f t="shared" si="3"/>
        <v>8.9255035780355138E-2</v>
      </c>
      <c r="J53" s="2">
        <f t="shared" si="4"/>
        <v>5.1827268665088744E-2</v>
      </c>
      <c r="K53" s="2">
        <f t="shared" si="4"/>
        <v>2.7430068247924048E-2</v>
      </c>
      <c r="L53">
        <v>8.8966666666666665</v>
      </c>
      <c r="M53" s="2">
        <f t="shared" si="5"/>
        <v>7.0150150150149937</v>
      </c>
    </row>
    <row r="54" spans="1:13" x14ac:dyDescent="0.2">
      <c r="A54" s="1" t="s">
        <v>53</v>
      </c>
      <c r="B54" s="1" t="str">
        <f t="shared" si="0"/>
        <v>1993</v>
      </c>
      <c r="C54" s="1" t="str">
        <f t="shared" si="1"/>
        <v>1</v>
      </c>
      <c r="D54">
        <v>6237504.4803691804</v>
      </c>
      <c r="E54">
        <v>1400455.9967425</v>
      </c>
      <c r="F54">
        <v>2067217.0919761099</v>
      </c>
      <c r="G54" s="2">
        <v>10062944.368425099</v>
      </c>
      <c r="H54" s="2">
        <f t="shared" si="6"/>
        <v>8.1438788716266794E-2</v>
      </c>
      <c r="I54" s="2">
        <f t="shared" si="3"/>
        <v>2.2126231656106658E-2</v>
      </c>
      <c r="J54" s="2">
        <f t="shared" si="4"/>
        <v>1.9599360794810474E-2</v>
      </c>
      <c r="K54" s="2">
        <f t="shared" si="4"/>
        <v>3.7989827735219125E-2</v>
      </c>
      <c r="L54">
        <v>11.383333333333329</v>
      </c>
      <c r="M54" s="2">
        <f t="shared" si="5"/>
        <v>18.73988439306353</v>
      </c>
    </row>
    <row r="55" spans="1:13" x14ac:dyDescent="0.2">
      <c r="A55" s="1" t="s">
        <v>54</v>
      </c>
      <c r="B55" s="1" t="str">
        <f t="shared" si="0"/>
        <v>1993</v>
      </c>
      <c r="C55" s="1" t="str">
        <f t="shared" si="1"/>
        <v>2</v>
      </c>
      <c r="D55">
        <v>6322258.9207623303</v>
      </c>
      <c r="E55">
        <v>1407058.4360157901</v>
      </c>
      <c r="F55">
        <v>2085964.6832735799</v>
      </c>
      <c r="G55" s="2">
        <v>10091664.042086201</v>
      </c>
      <c r="H55" s="2">
        <f t="shared" si="6"/>
        <v>4.0081472191348784E-2</v>
      </c>
      <c r="I55" s="2">
        <f t="shared" si="3"/>
        <v>2.050732371064317E-2</v>
      </c>
      <c r="J55" s="2">
        <f t="shared" si="4"/>
        <v>-8.9879717228347322E-3</v>
      </c>
      <c r="K55" s="2">
        <f t="shared" si="4"/>
        <v>2.6627204716098262E-2</v>
      </c>
      <c r="L55">
        <v>9.5433333333333312</v>
      </c>
      <c r="M55" s="2">
        <f t="shared" si="5"/>
        <v>20.744827586206927</v>
      </c>
    </row>
    <row r="56" spans="1:13" x14ac:dyDescent="0.2">
      <c r="A56" s="1" t="s">
        <v>55</v>
      </c>
      <c r="B56" s="1" t="str">
        <f t="shared" si="0"/>
        <v>1993</v>
      </c>
      <c r="C56" s="1" t="str">
        <f t="shared" si="1"/>
        <v>3</v>
      </c>
      <c r="D56">
        <v>6291971.7058330104</v>
      </c>
      <c r="E56">
        <v>1408040.0078507599</v>
      </c>
      <c r="F56">
        <v>2137878.1299518198</v>
      </c>
      <c r="G56" s="2">
        <v>10201432.034399601</v>
      </c>
      <c r="H56" s="2">
        <f t="shared" si="6"/>
        <v>1.978123776855694E-2</v>
      </c>
      <c r="I56" s="2">
        <f t="shared" si="3"/>
        <v>6.2254923428471517E-3</v>
      </c>
      <c r="J56" s="2">
        <f t="shared" si="4"/>
        <v>-1.0541862753676592E-2</v>
      </c>
      <c r="K56" s="2">
        <f t="shared" si="4"/>
        <v>2.3637090555437154E-2</v>
      </c>
      <c r="L56">
        <v>7.2166666666666668</v>
      </c>
      <c r="M56" s="2">
        <f t="shared" si="5"/>
        <v>0.89413823272091142</v>
      </c>
    </row>
    <row r="57" spans="1:13" x14ac:dyDescent="0.2">
      <c r="A57" s="1" t="s">
        <v>56</v>
      </c>
      <c r="B57" s="1" t="str">
        <f t="shared" si="0"/>
        <v>1993</v>
      </c>
      <c r="C57" s="1" t="str">
        <f t="shared" si="1"/>
        <v>4</v>
      </c>
      <c r="D57">
        <v>6396657.8855534298</v>
      </c>
      <c r="E57">
        <v>1424363.03188309</v>
      </c>
      <c r="F57">
        <v>2284774.4010911998</v>
      </c>
      <c r="G57" s="2">
        <v>10330070.2866593</v>
      </c>
      <c r="H57" s="2">
        <f t="shared" si="6"/>
        <v>2.2524528772624997E-2</v>
      </c>
      <c r="I57" s="2">
        <f t="shared" si="3"/>
        <v>7.2562281742776001E-3</v>
      </c>
      <c r="J57" s="2">
        <f t="shared" si="4"/>
        <v>7.5175778173169686E-2</v>
      </c>
      <c r="K57" s="2">
        <f t="shared" si="4"/>
        <v>3.6518872796732514E-2</v>
      </c>
      <c r="L57">
        <v>7</v>
      </c>
      <c r="M57" s="2">
        <f t="shared" si="5"/>
        <v>-0.21318846009741474</v>
      </c>
    </row>
    <row r="58" spans="1:13" x14ac:dyDescent="0.2">
      <c r="A58" s="1" t="s">
        <v>57</v>
      </c>
      <c r="B58" s="1" t="str">
        <f t="shared" si="0"/>
        <v>1994</v>
      </c>
      <c r="C58" s="1" t="str">
        <f t="shared" si="1"/>
        <v>1</v>
      </c>
      <c r="D58">
        <v>6435528.2003595503</v>
      </c>
      <c r="E58">
        <v>1447701.6097590099</v>
      </c>
      <c r="F58">
        <v>2420215.5784279699</v>
      </c>
      <c r="G58" s="2">
        <v>10433585.740162499</v>
      </c>
      <c r="H58" s="2">
        <f t="shared" si="6"/>
        <v>3.1747266974091116E-2</v>
      </c>
      <c r="I58" s="2">
        <f t="shared" si="3"/>
        <v>3.3735878261369541E-2</v>
      </c>
      <c r="J58" s="2">
        <f t="shared" si="4"/>
        <v>0.17076023985193498</v>
      </c>
      <c r="K58" s="2">
        <f t="shared" si="4"/>
        <v>3.6832298596460124E-2</v>
      </c>
      <c r="L58">
        <v>4.9766666666666657</v>
      </c>
      <c r="M58" s="2">
        <f t="shared" si="5"/>
        <v>-0.56281112737920935</v>
      </c>
    </row>
    <row r="59" spans="1:13" x14ac:dyDescent="0.2">
      <c r="A59" s="1" t="s">
        <v>58</v>
      </c>
      <c r="B59" s="1" t="str">
        <f t="shared" si="0"/>
        <v>1994</v>
      </c>
      <c r="C59" s="1" t="str">
        <f t="shared" si="1"/>
        <v>2</v>
      </c>
      <c r="D59">
        <v>6630692.0008918596</v>
      </c>
      <c r="E59">
        <v>1456476.73246866</v>
      </c>
      <c r="F59">
        <v>2489689.8518263502</v>
      </c>
      <c r="G59" s="2">
        <v>10654206.3332764</v>
      </c>
      <c r="H59" s="2">
        <f t="shared" si="6"/>
        <v>4.8785265519043129E-2</v>
      </c>
      <c r="I59" s="2">
        <f t="shared" si="3"/>
        <v>3.5121708656821786E-2</v>
      </c>
      <c r="J59" s="2">
        <f t="shared" si="4"/>
        <v>0.19354362602112216</v>
      </c>
      <c r="K59" s="2">
        <f t="shared" si="4"/>
        <v>5.5743263830838732E-2</v>
      </c>
      <c r="L59">
        <v>9.196666666666669</v>
      </c>
      <c r="M59" s="2">
        <f t="shared" si="5"/>
        <v>-3.6325532658050538E-2</v>
      </c>
    </row>
    <row r="60" spans="1:13" x14ac:dyDescent="0.2">
      <c r="A60" s="1" t="s">
        <v>59</v>
      </c>
      <c r="B60" s="1" t="str">
        <f t="shared" si="0"/>
        <v>1994</v>
      </c>
      <c r="C60" s="1" t="str">
        <f t="shared" si="1"/>
        <v>3</v>
      </c>
      <c r="D60">
        <v>6735600.74371807</v>
      </c>
      <c r="E60">
        <v>1451330.6602485499</v>
      </c>
      <c r="F60">
        <v>2507605.6274672202</v>
      </c>
      <c r="G60" s="2">
        <v>10742600.413899001</v>
      </c>
      <c r="H60" s="2">
        <f t="shared" si="6"/>
        <v>7.0507157156124947E-2</v>
      </c>
      <c r="I60" s="2">
        <f t="shared" si="3"/>
        <v>3.0745328368807563E-2</v>
      </c>
      <c r="J60" s="2">
        <f t="shared" si="4"/>
        <v>0.17294133483826449</v>
      </c>
      <c r="K60" s="2">
        <f t="shared" si="4"/>
        <v>5.3048275739578571E-2</v>
      </c>
      <c r="L60">
        <v>10.483333333333334</v>
      </c>
      <c r="M60" s="2">
        <f t="shared" si="5"/>
        <v>0.45265588914549665</v>
      </c>
    </row>
    <row r="61" spans="1:13" x14ac:dyDescent="0.2">
      <c r="A61" s="1" t="s">
        <v>60</v>
      </c>
      <c r="B61" s="1" t="str">
        <f t="shared" si="0"/>
        <v>1994</v>
      </c>
      <c r="C61" s="1" t="str">
        <f t="shared" si="1"/>
        <v>4</v>
      </c>
      <c r="D61">
        <v>6779404.2720210198</v>
      </c>
      <c r="E61">
        <v>1453254.4325864201</v>
      </c>
      <c r="F61">
        <v>2417053.2712005498</v>
      </c>
      <c r="G61" s="2">
        <v>10862805.6331171</v>
      </c>
      <c r="H61" s="2">
        <f t="shared" si="6"/>
        <v>5.983536923742723E-2</v>
      </c>
      <c r="I61" s="2">
        <f t="shared" si="3"/>
        <v>2.028373389130576E-2</v>
      </c>
      <c r="J61" s="2">
        <f t="shared" si="4"/>
        <v>5.7895812403261367E-2</v>
      </c>
      <c r="K61" s="2">
        <f t="shared" si="4"/>
        <v>5.157131865267145E-2</v>
      </c>
      <c r="L61">
        <v>9.4833333333333307</v>
      </c>
      <c r="M61" s="2">
        <f t="shared" si="5"/>
        <v>0.35476190476190439</v>
      </c>
    </row>
    <row r="62" spans="1:13" x14ac:dyDescent="0.2">
      <c r="A62" s="1" t="s">
        <v>61</v>
      </c>
      <c r="B62" s="1" t="str">
        <f t="shared" si="0"/>
        <v>1995</v>
      </c>
      <c r="C62" s="1" t="str">
        <f t="shared" si="1"/>
        <v>1</v>
      </c>
      <c r="D62">
        <v>6322206.0103456303</v>
      </c>
      <c r="E62">
        <v>1443342.7707018999</v>
      </c>
      <c r="F62">
        <v>1676428.30297534</v>
      </c>
      <c r="G62" s="2">
        <v>10233332.8704258</v>
      </c>
      <c r="H62" s="2">
        <f t="shared" si="6"/>
        <v>-1.760884056223834E-2</v>
      </c>
      <c r="I62" s="2">
        <f t="shared" si="3"/>
        <v>-3.0108684191044082E-3</v>
      </c>
      <c r="J62" s="2">
        <f t="shared" si="4"/>
        <v>-0.30732273690087991</v>
      </c>
      <c r="K62" s="2">
        <f t="shared" si="4"/>
        <v>-1.9193101463273212E-2</v>
      </c>
      <c r="L62">
        <v>25.899999999999991</v>
      </c>
      <c r="M62" s="2">
        <f t="shared" si="5"/>
        <v>4.204286671131948</v>
      </c>
    </row>
    <row r="63" spans="1:13" x14ac:dyDescent="0.2">
      <c r="A63" s="1" t="s">
        <v>62</v>
      </c>
      <c r="B63" s="1" t="str">
        <f t="shared" si="0"/>
        <v>1995</v>
      </c>
      <c r="C63" s="1" t="str">
        <f t="shared" si="1"/>
        <v>2</v>
      </c>
      <c r="D63">
        <v>6199427.3709759004</v>
      </c>
      <c r="E63">
        <v>1431845.61620236</v>
      </c>
      <c r="F63">
        <v>1476913.1239430101</v>
      </c>
      <c r="G63" s="2">
        <v>9736610.7639404498</v>
      </c>
      <c r="H63" s="2">
        <f t="shared" si="6"/>
        <v>-6.504066692555649E-2</v>
      </c>
      <c r="I63" s="2">
        <f t="shared" si="3"/>
        <v>-1.6911438210586022E-2</v>
      </c>
      <c r="J63" s="2">
        <f t="shared" si="4"/>
        <v>-0.40678831025495088</v>
      </c>
      <c r="K63" s="2">
        <f t="shared" si="4"/>
        <v>-8.6125192307381374E-2</v>
      </c>
      <c r="L63">
        <v>24.416666666666664</v>
      </c>
      <c r="M63" s="2">
        <f t="shared" si="5"/>
        <v>1.6549474447263492</v>
      </c>
    </row>
    <row r="64" spans="1:13" x14ac:dyDescent="0.2">
      <c r="A64" s="1" t="s">
        <v>63</v>
      </c>
      <c r="B64" s="1" t="str">
        <f t="shared" si="0"/>
        <v>1995</v>
      </c>
      <c r="C64" s="1" t="str">
        <f t="shared" si="1"/>
        <v>3</v>
      </c>
      <c r="D64">
        <v>6254734.1158700399</v>
      </c>
      <c r="E64">
        <v>1439936.2376339601</v>
      </c>
      <c r="F64">
        <v>1502967.7905013899</v>
      </c>
      <c r="G64" s="2">
        <v>9926198.1102255601</v>
      </c>
      <c r="H64" s="2">
        <f t="shared" si="6"/>
        <v>-7.1391795052060988E-2</v>
      </c>
      <c r="I64" s="2">
        <f t="shared" si="3"/>
        <v>-7.8510176396593377E-3</v>
      </c>
      <c r="J64" s="2">
        <f t="shared" si="4"/>
        <v>-0.40063629861149813</v>
      </c>
      <c r="K64" s="2">
        <f t="shared" si="4"/>
        <v>-7.5996711430982966E-2</v>
      </c>
      <c r="L64">
        <v>-3.943333333333328</v>
      </c>
      <c r="M64" s="2">
        <f t="shared" si="5"/>
        <v>-1.3761526232114463</v>
      </c>
    </row>
    <row r="65" spans="1:13" x14ac:dyDescent="0.2">
      <c r="A65" s="1" t="s">
        <v>64</v>
      </c>
      <c r="B65" s="1" t="str">
        <f t="shared" si="0"/>
        <v>1995</v>
      </c>
      <c r="C65" s="1" t="str">
        <f t="shared" si="1"/>
        <v>4</v>
      </c>
      <c r="D65">
        <v>6254741.9047613302</v>
      </c>
      <c r="E65">
        <v>1430884.74694794</v>
      </c>
      <c r="F65">
        <v>1639641.1051761</v>
      </c>
      <c r="G65" s="2">
        <v>10111606.3674319</v>
      </c>
      <c r="H65" s="2">
        <f t="shared" si="6"/>
        <v>-7.7390629944433395E-2</v>
      </c>
      <c r="I65" s="2">
        <f t="shared" si="3"/>
        <v>-1.5392821199704046E-2</v>
      </c>
      <c r="J65" s="2">
        <f t="shared" si="4"/>
        <v>-0.3216363392927245</v>
      </c>
      <c r="K65" s="2">
        <f t="shared" si="4"/>
        <v>-6.9153337641892687E-2</v>
      </c>
      <c r="L65">
        <v>-4.9766666666666666</v>
      </c>
      <c r="M65" s="2">
        <f t="shared" si="5"/>
        <v>-1.5247803163444642</v>
      </c>
    </row>
    <row r="66" spans="1:13" x14ac:dyDescent="0.2">
      <c r="A66" s="1" t="s">
        <v>65</v>
      </c>
      <c r="B66" s="1" t="str">
        <f t="shared" si="0"/>
        <v>1996</v>
      </c>
      <c r="C66" s="1" t="str">
        <f t="shared" si="1"/>
        <v>1</v>
      </c>
      <c r="D66">
        <v>6392447.0549855204</v>
      </c>
      <c r="E66">
        <v>1425379.9384354299</v>
      </c>
      <c r="F66">
        <v>1715440.7956226601</v>
      </c>
      <c r="G66" s="2">
        <v>10375680.7493496</v>
      </c>
      <c r="H66" s="2">
        <f t="shared" si="6"/>
        <v>1.1110211297282617E-2</v>
      </c>
      <c r="I66" s="2">
        <f t="shared" si="3"/>
        <v>-1.2445298948450477E-2</v>
      </c>
      <c r="J66" s="2">
        <f t="shared" si="4"/>
        <v>2.3271196613705643E-2</v>
      </c>
      <c r="K66" s="2">
        <f t="shared" si="4"/>
        <v>1.391021681071114E-2</v>
      </c>
      <c r="L66">
        <v>-9.7366666666666717</v>
      </c>
      <c r="M66" s="2">
        <f t="shared" si="5"/>
        <v>-1.3759330759330763</v>
      </c>
    </row>
    <row r="67" spans="1:13" x14ac:dyDescent="0.2">
      <c r="A67" s="1" t="s">
        <v>66</v>
      </c>
      <c r="B67" s="1" t="str">
        <f t="shared" ref="B67:B130" si="7">LEFT(A67,4)</f>
        <v>1996</v>
      </c>
      <c r="C67" s="1" t="str">
        <f t="shared" ref="C67:C130" si="8">RIGHT(A67,1)</f>
        <v>2</v>
      </c>
      <c r="D67">
        <v>6422349.8033699002</v>
      </c>
      <c r="E67">
        <v>1428866.60142993</v>
      </c>
      <c r="F67">
        <v>1813990.5386144</v>
      </c>
      <c r="G67" s="2">
        <v>10519640.2599185</v>
      </c>
      <c r="H67" s="2">
        <f t="shared" si="6"/>
        <v>3.5958552145906951E-2</v>
      </c>
      <c r="I67" s="2">
        <f t="shared" si="3"/>
        <v>-2.080541881555088E-3</v>
      </c>
      <c r="J67" s="2">
        <f t="shared" si="4"/>
        <v>0.22823103756534613</v>
      </c>
      <c r="K67" s="2">
        <f t="shared" si="4"/>
        <v>8.0421156289619863E-2</v>
      </c>
      <c r="L67">
        <v>-3.6466666666666612</v>
      </c>
      <c r="M67" s="2">
        <f t="shared" si="5"/>
        <v>-1.1493515358361772</v>
      </c>
    </row>
    <row r="68" spans="1:13" x14ac:dyDescent="0.2">
      <c r="A68" s="1" t="s">
        <v>67</v>
      </c>
      <c r="B68" s="1" t="str">
        <f t="shared" si="7"/>
        <v>1996</v>
      </c>
      <c r="C68" s="1" t="str">
        <f t="shared" si="8"/>
        <v>3</v>
      </c>
      <c r="D68">
        <v>6556934.1638089698</v>
      </c>
      <c r="E68">
        <v>1437142.98632465</v>
      </c>
      <c r="F68">
        <v>1940305.7805159399</v>
      </c>
      <c r="G68" s="2">
        <v>10703416.393335599</v>
      </c>
      <c r="H68" s="2">
        <f t="shared" si="6"/>
        <v>4.8315410749781094E-2</v>
      </c>
      <c r="I68" s="2">
        <f t="shared" si="3"/>
        <v>-1.9398437488453196E-3</v>
      </c>
      <c r="J68" s="2">
        <f t="shared" si="4"/>
        <v>0.29098294240134986</v>
      </c>
      <c r="K68" s="2">
        <f t="shared" si="4"/>
        <v>7.8299694855916799E-2</v>
      </c>
      <c r="L68">
        <v>-3.336666666666666</v>
      </c>
      <c r="M68" s="2">
        <f t="shared" si="5"/>
        <v>0.15384615384615288</v>
      </c>
    </row>
    <row r="69" spans="1:13" x14ac:dyDescent="0.2">
      <c r="A69" s="1" t="s">
        <v>68</v>
      </c>
      <c r="B69" s="1" t="str">
        <f t="shared" si="7"/>
        <v>1996</v>
      </c>
      <c r="C69" s="1" t="str">
        <f t="shared" si="8"/>
        <v>4</v>
      </c>
      <c r="D69">
        <v>6735328.9864248401</v>
      </c>
      <c r="E69">
        <v>1453449.9080669</v>
      </c>
      <c r="F69">
        <v>2058477.42428579</v>
      </c>
      <c r="G69" s="2">
        <v>11019520.643570101</v>
      </c>
      <c r="H69" s="2">
        <f t="shared" si="6"/>
        <v>7.6835637502111795E-2</v>
      </c>
      <c r="I69" s="2">
        <f t="shared" si="3"/>
        <v>1.5770075938744351E-2</v>
      </c>
      <c r="J69" s="2">
        <f t="shared" si="4"/>
        <v>0.25544390036788339</v>
      </c>
      <c r="K69" s="2">
        <f t="shared" si="4"/>
        <v>8.9789321611892348E-2</v>
      </c>
      <c r="L69">
        <v>-1.4666666666666686</v>
      </c>
      <c r="M69" s="2">
        <f t="shared" si="5"/>
        <v>0.70529135967849932</v>
      </c>
    </row>
    <row r="70" spans="1:13" x14ac:dyDescent="0.2">
      <c r="A70" s="1" t="s">
        <v>69</v>
      </c>
      <c r="B70" s="1" t="str">
        <f t="shared" si="7"/>
        <v>1997</v>
      </c>
      <c r="C70" s="1" t="str">
        <f t="shared" si="8"/>
        <v>1</v>
      </c>
      <c r="D70">
        <v>6791500.7964186901</v>
      </c>
      <c r="E70">
        <v>1484935.16992256</v>
      </c>
      <c r="F70">
        <v>2002152.22427387</v>
      </c>
      <c r="G70" s="2">
        <v>11035080.101815701</v>
      </c>
      <c r="H70" s="2">
        <f t="shared" si="6"/>
        <v>6.2425818782800006E-2</v>
      </c>
      <c r="I70" s="2">
        <f t="shared" si="3"/>
        <v>4.1782004840408324E-2</v>
      </c>
      <c r="J70" s="2">
        <f t="shared" si="4"/>
        <v>0.16713571776001818</v>
      </c>
      <c r="K70" s="2">
        <f t="shared" si="4"/>
        <v>6.3552394141216745E-2</v>
      </c>
      <c r="L70">
        <v>-3.43333333333333</v>
      </c>
      <c r="M70" s="2">
        <f t="shared" si="5"/>
        <v>0.64738103389250312</v>
      </c>
    </row>
    <row r="71" spans="1:13" x14ac:dyDescent="0.2">
      <c r="A71" s="1" t="s">
        <v>70</v>
      </c>
      <c r="B71" s="1" t="str">
        <f t="shared" si="7"/>
        <v>1997</v>
      </c>
      <c r="C71" s="1" t="str">
        <f t="shared" si="8"/>
        <v>2</v>
      </c>
      <c r="D71">
        <v>6974031.1208458003</v>
      </c>
      <c r="E71">
        <v>1501242.7729463801</v>
      </c>
      <c r="F71">
        <v>2144772.2973212702</v>
      </c>
      <c r="G71" s="2">
        <v>11291540.005313</v>
      </c>
      <c r="H71" s="2">
        <f t="shared" ref="H71:H134" si="9">(D71-D67)/ABS(D67)</f>
        <v>8.5900228789535085E-2</v>
      </c>
      <c r="I71" s="2">
        <f t="shared" ref="I71:I134" si="10">(E71-E67)/ABS(E67)</f>
        <v>5.0652854118096183E-2</v>
      </c>
      <c r="J71" s="2">
        <f t="shared" ref="J71:K134" si="11">(F71-F67)/ABS(F67)</f>
        <v>0.18235032193692413</v>
      </c>
      <c r="K71" s="2">
        <f t="shared" si="11"/>
        <v>7.3377009700185333E-2</v>
      </c>
      <c r="L71">
        <v>-1.7766666666666673</v>
      </c>
      <c r="M71" s="2">
        <f t="shared" ref="M71:M134" si="12">(L71-L67)/ABS(L67)</f>
        <v>0.51279707495429527</v>
      </c>
    </row>
    <row r="72" spans="1:13" x14ac:dyDescent="0.2">
      <c r="A72" s="1" t="s">
        <v>71</v>
      </c>
      <c r="B72" s="1" t="str">
        <f t="shared" si="7"/>
        <v>1997</v>
      </c>
      <c r="C72" s="1" t="str">
        <f t="shared" si="8"/>
        <v>3</v>
      </c>
      <c r="D72">
        <v>7077092.9552469403</v>
      </c>
      <c r="E72">
        <v>1512209.7209823299</v>
      </c>
      <c r="F72">
        <v>2241433.4694271199</v>
      </c>
      <c r="G72" s="2">
        <v>11512856.669469699</v>
      </c>
      <c r="H72" s="2">
        <f t="shared" si="9"/>
        <v>7.9329573615210217E-2</v>
      </c>
      <c r="I72" s="2">
        <f t="shared" si="10"/>
        <v>5.2233309678987205E-2</v>
      </c>
      <c r="J72" s="2">
        <f t="shared" si="11"/>
        <v>0.15519599639140805</v>
      </c>
      <c r="K72" s="2">
        <f t="shared" si="11"/>
        <v>7.5624477866533493E-2</v>
      </c>
      <c r="L72">
        <v>-1.6900000000000013</v>
      </c>
      <c r="M72" s="2">
        <f t="shared" si="12"/>
        <v>0.493506493506493</v>
      </c>
    </row>
    <row r="73" spans="1:13" x14ac:dyDescent="0.2">
      <c r="A73" s="1" t="s">
        <v>72</v>
      </c>
      <c r="B73" s="1" t="str">
        <f t="shared" si="7"/>
        <v>1997</v>
      </c>
      <c r="C73" s="1" t="str">
        <f t="shared" si="8"/>
        <v>4</v>
      </c>
      <c r="D73">
        <v>7262085.5136260204</v>
      </c>
      <c r="E73">
        <v>1524256.11621947</v>
      </c>
      <c r="F73">
        <v>2290276.58624548</v>
      </c>
      <c r="G73" s="2">
        <v>11791252.777432701</v>
      </c>
      <c r="H73" s="2">
        <f t="shared" si="9"/>
        <v>7.8207987800279141E-2</v>
      </c>
      <c r="I73" s="2">
        <f t="shared" si="10"/>
        <v>4.8715960391605709E-2</v>
      </c>
      <c r="J73" s="2">
        <f t="shared" si="11"/>
        <v>0.11260709455684954</v>
      </c>
      <c r="K73" s="2">
        <f t="shared" si="11"/>
        <v>7.0033185546315574E-2</v>
      </c>
      <c r="L73">
        <v>0.12000000000000099</v>
      </c>
      <c r="M73" s="2">
        <f t="shared" si="12"/>
        <v>1.0818181818181825</v>
      </c>
    </row>
    <row r="74" spans="1:13" x14ac:dyDescent="0.2">
      <c r="A74" s="1" t="s">
        <v>73</v>
      </c>
      <c r="B74" s="1" t="str">
        <f t="shared" si="7"/>
        <v>1998</v>
      </c>
      <c r="C74" s="1" t="str">
        <f t="shared" si="8"/>
        <v>1</v>
      </c>
      <c r="D74">
        <v>7366094.2196404999</v>
      </c>
      <c r="E74">
        <v>1508296.7527266601</v>
      </c>
      <c r="F74">
        <v>2334762.2517415402</v>
      </c>
      <c r="G74" s="2">
        <v>11898700.7677732</v>
      </c>
      <c r="H74" s="2">
        <f t="shared" si="9"/>
        <v>8.4604778891405816E-2</v>
      </c>
      <c r="I74" s="2">
        <f t="shared" si="10"/>
        <v>1.5732392415029432E-2</v>
      </c>
      <c r="J74" s="2">
        <f t="shared" si="11"/>
        <v>0.16612624326719183</v>
      </c>
      <c r="K74" s="2">
        <f t="shared" si="11"/>
        <v>7.8261386232746977E-2</v>
      </c>
      <c r="L74">
        <v>1.8300000000000018</v>
      </c>
      <c r="M74" s="2">
        <f t="shared" si="12"/>
        <v>1.5330097087378651</v>
      </c>
    </row>
    <row r="75" spans="1:13" x14ac:dyDescent="0.2">
      <c r="A75" s="1" t="s">
        <v>74</v>
      </c>
      <c r="B75" s="1" t="str">
        <f t="shared" si="7"/>
        <v>1998</v>
      </c>
      <c r="C75" s="1" t="str">
        <f t="shared" si="8"/>
        <v>2</v>
      </c>
      <c r="D75">
        <v>7481833.6508001396</v>
      </c>
      <c r="E75">
        <v>1517816.5282254899</v>
      </c>
      <c r="F75">
        <v>2391070.9030595599</v>
      </c>
      <c r="G75" s="2">
        <v>11990744.0793678</v>
      </c>
      <c r="H75" s="2">
        <f t="shared" si="9"/>
        <v>7.2813344413747594E-2</v>
      </c>
      <c r="I75" s="2">
        <f t="shared" si="10"/>
        <v>1.1040023357835528E-2</v>
      </c>
      <c r="J75" s="2">
        <f t="shared" si="11"/>
        <v>0.11483671532213754</v>
      </c>
      <c r="K75" s="2">
        <f t="shared" si="11"/>
        <v>6.1922826622923359E-2</v>
      </c>
      <c r="L75">
        <v>2.1233333333333331</v>
      </c>
      <c r="M75" s="2">
        <f t="shared" si="12"/>
        <v>2.1951219512195115</v>
      </c>
    </row>
    <row r="76" spans="1:13" x14ac:dyDescent="0.2">
      <c r="A76" s="1" t="s">
        <v>75</v>
      </c>
      <c r="B76" s="1" t="str">
        <f t="shared" si="7"/>
        <v>1998</v>
      </c>
      <c r="C76" s="1" t="str">
        <f t="shared" si="8"/>
        <v>3</v>
      </c>
      <c r="D76">
        <v>7527196.0391067602</v>
      </c>
      <c r="E76">
        <v>1533339.3586691299</v>
      </c>
      <c r="F76">
        <v>2430488.79851329</v>
      </c>
      <c r="G76" s="2">
        <v>12045391.7429775</v>
      </c>
      <c r="H76" s="2">
        <f t="shared" si="9"/>
        <v>6.3599996030307124E-2</v>
      </c>
      <c r="I76" s="2">
        <f t="shared" si="10"/>
        <v>1.397269002680011E-2</v>
      </c>
      <c r="J76" s="2">
        <f t="shared" si="11"/>
        <v>8.4345724138084749E-2</v>
      </c>
      <c r="K76" s="2">
        <f t="shared" si="11"/>
        <v>4.6255685169780729E-2</v>
      </c>
      <c r="L76">
        <v>5.8366666666666696</v>
      </c>
      <c r="M76" s="2">
        <f t="shared" si="12"/>
        <v>4.4536489151873759</v>
      </c>
    </row>
    <row r="77" spans="1:13" x14ac:dyDescent="0.2">
      <c r="A77" s="1" t="s">
        <v>76</v>
      </c>
      <c r="B77" s="1" t="str">
        <f t="shared" si="7"/>
        <v>1998</v>
      </c>
      <c r="C77" s="1" t="str">
        <f t="shared" si="8"/>
        <v>4</v>
      </c>
      <c r="D77">
        <v>7542410.9962619999</v>
      </c>
      <c r="E77">
        <v>1547808.14414096</v>
      </c>
      <c r="F77">
        <v>2436353.1048828298</v>
      </c>
      <c r="G77" s="2">
        <v>12064077.3907385</v>
      </c>
      <c r="H77" s="2">
        <f t="shared" si="9"/>
        <v>3.8601236808627259E-2</v>
      </c>
      <c r="I77" s="2">
        <f t="shared" si="10"/>
        <v>1.5451489858479115E-2</v>
      </c>
      <c r="J77" s="2">
        <f t="shared" si="11"/>
        <v>6.3781169276509744E-2</v>
      </c>
      <c r="K77" s="2">
        <f t="shared" si="11"/>
        <v>2.3137881822698193E-2</v>
      </c>
      <c r="L77">
        <v>10.976666666666667</v>
      </c>
      <c r="M77" s="2">
        <f t="shared" si="12"/>
        <v>90.472222222221461</v>
      </c>
    </row>
    <row r="78" spans="1:13" x14ac:dyDescent="0.2">
      <c r="A78" s="1" t="s">
        <v>77</v>
      </c>
      <c r="B78" s="1" t="str">
        <f t="shared" si="7"/>
        <v>1999</v>
      </c>
      <c r="C78" s="1" t="str">
        <f t="shared" si="8"/>
        <v>1</v>
      </c>
      <c r="D78">
        <v>7713443.2251816001</v>
      </c>
      <c r="E78">
        <v>1587149.51083475</v>
      </c>
      <c r="F78">
        <v>2514989.5667374302</v>
      </c>
      <c r="G78" s="2">
        <v>12190790.9128037</v>
      </c>
      <c r="H78" s="2">
        <f t="shared" si="9"/>
        <v>4.7155113033301985E-2</v>
      </c>
      <c r="I78" s="2">
        <f t="shared" si="10"/>
        <v>5.2279339569976477E-2</v>
      </c>
      <c r="J78" s="2">
        <f t="shared" si="11"/>
        <v>7.7193005352667196E-2</v>
      </c>
      <c r="K78" s="2">
        <f t="shared" si="11"/>
        <v>2.4548070476871402E-2</v>
      </c>
      <c r="L78">
        <v>7.4099999999999966</v>
      </c>
      <c r="M78" s="2">
        <f t="shared" si="12"/>
        <v>3.0491803278688465</v>
      </c>
    </row>
    <row r="79" spans="1:13" x14ac:dyDescent="0.2">
      <c r="A79" s="1" t="s">
        <v>78</v>
      </c>
      <c r="B79" s="1" t="str">
        <f t="shared" si="7"/>
        <v>1999</v>
      </c>
      <c r="C79" s="1" t="str">
        <f t="shared" si="8"/>
        <v>2</v>
      </c>
      <c r="D79">
        <v>7768222.7706413902</v>
      </c>
      <c r="E79">
        <v>1606217.1350556</v>
      </c>
      <c r="F79">
        <v>2516050.3539636801</v>
      </c>
      <c r="G79" s="2">
        <v>12265548.971126201</v>
      </c>
      <c r="H79" s="2">
        <f t="shared" si="9"/>
        <v>3.8277932016120529E-2</v>
      </c>
      <c r="I79" s="2">
        <f t="shared" si="10"/>
        <v>5.8241958224991147E-2</v>
      </c>
      <c r="J79" s="2">
        <f t="shared" si="11"/>
        <v>5.2269236660527033E-2</v>
      </c>
      <c r="K79" s="2">
        <f t="shared" si="11"/>
        <v>2.291808497783315E-2</v>
      </c>
      <c r="L79">
        <v>0.65666666666666629</v>
      </c>
      <c r="M79" s="2">
        <f t="shared" si="12"/>
        <v>-0.69073783359497665</v>
      </c>
    </row>
    <row r="80" spans="1:13" x14ac:dyDescent="0.2">
      <c r="A80" s="1" t="s">
        <v>79</v>
      </c>
      <c r="B80" s="1" t="str">
        <f t="shared" si="7"/>
        <v>1999</v>
      </c>
      <c r="C80" s="1" t="str">
        <f t="shared" si="8"/>
        <v>3</v>
      </c>
      <c r="D80">
        <v>7909193.7868871903</v>
      </c>
      <c r="E80">
        <v>1614915.6882970899</v>
      </c>
      <c r="F80">
        <v>2520677.43542061</v>
      </c>
      <c r="G80" s="2">
        <v>12365276.4271957</v>
      </c>
      <c r="H80" s="2">
        <f t="shared" si="9"/>
        <v>5.0749010095631993E-2</v>
      </c>
      <c r="I80" s="2">
        <f t="shared" si="10"/>
        <v>5.3201745045378994E-2</v>
      </c>
      <c r="J80" s="2">
        <f t="shared" si="11"/>
        <v>3.7107201219148858E-2</v>
      </c>
      <c r="K80" s="2">
        <f t="shared" si="11"/>
        <v>2.6556602810754882E-2</v>
      </c>
      <c r="L80">
        <v>1.5800000000000018</v>
      </c>
      <c r="M80" s="2">
        <f t="shared" si="12"/>
        <v>-0.72929754426042248</v>
      </c>
    </row>
    <row r="81" spans="1:13" x14ac:dyDescent="0.2">
      <c r="A81" s="1" t="s">
        <v>80</v>
      </c>
      <c r="B81" s="1" t="str">
        <f t="shared" si="7"/>
        <v>1999</v>
      </c>
      <c r="C81" s="1" t="str">
        <f t="shared" si="8"/>
        <v>4</v>
      </c>
      <c r="D81">
        <v>7970926.5530095296</v>
      </c>
      <c r="E81">
        <v>1618278.51154607</v>
      </c>
      <c r="F81">
        <v>2570020.42848993</v>
      </c>
      <c r="G81" s="2">
        <v>12493600.3260761</v>
      </c>
      <c r="H81" s="2">
        <f t="shared" si="9"/>
        <v>5.6814135023920187E-2</v>
      </c>
      <c r="I81" s="2">
        <f t="shared" si="10"/>
        <v>4.5529135940954354E-2</v>
      </c>
      <c r="J81" s="2">
        <f t="shared" si="11"/>
        <v>5.4863690874368785E-2</v>
      </c>
      <c r="K81" s="2">
        <f t="shared" si="11"/>
        <v>3.5603463192911945E-2</v>
      </c>
      <c r="L81">
        <v>2.5933333333333355</v>
      </c>
      <c r="M81" s="2">
        <f t="shared" si="12"/>
        <v>-0.76374126935924669</v>
      </c>
    </row>
    <row r="82" spans="1:13" x14ac:dyDescent="0.2">
      <c r="A82" s="1" t="s">
        <v>81</v>
      </c>
      <c r="B82" s="1" t="str">
        <f t="shared" si="7"/>
        <v>2000</v>
      </c>
      <c r="C82" s="1" t="str">
        <f t="shared" si="8"/>
        <v>1</v>
      </c>
      <c r="D82">
        <v>8155775.9676814703</v>
      </c>
      <c r="E82">
        <v>1664864.51392771</v>
      </c>
      <c r="F82">
        <v>2656022.6687962702</v>
      </c>
      <c r="G82" s="2">
        <v>12733771.980213</v>
      </c>
      <c r="H82" s="2">
        <f t="shared" si="9"/>
        <v>5.7345692395299408E-2</v>
      </c>
      <c r="I82" s="2">
        <f t="shared" si="10"/>
        <v>4.8965143209530611E-2</v>
      </c>
      <c r="J82" s="2">
        <f t="shared" si="11"/>
        <v>5.6077012773375103E-2</v>
      </c>
      <c r="K82" s="2">
        <f t="shared" si="11"/>
        <v>4.4540265786940786E-2</v>
      </c>
      <c r="L82">
        <v>4.163333333333334</v>
      </c>
      <c r="M82" s="2">
        <f t="shared" si="12"/>
        <v>-0.4381466486729641</v>
      </c>
    </row>
    <row r="83" spans="1:13" x14ac:dyDescent="0.2">
      <c r="A83" s="1" t="s">
        <v>82</v>
      </c>
      <c r="B83" s="1" t="str">
        <f t="shared" si="7"/>
        <v>2000</v>
      </c>
      <c r="C83" s="1" t="str">
        <f t="shared" si="8"/>
        <v>2</v>
      </c>
      <c r="D83">
        <v>8330329.1269345405</v>
      </c>
      <c r="E83">
        <v>1656841.3266367</v>
      </c>
      <c r="F83">
        <v>2693686.8289988199</v>
      </c>
      <c r="G83" s="2">
        <v>12928542.7583331</v>
      </c>
      <c r="H83" s="2">
        <f t="shared" si="9"/>
        <v>7.2359711209303984E-2</v>
      </c>
      <c r="I83" s="2">
        <f t="shared" si="10"/>
        <v>3.1517651303942545E-2</v>
      </c>
      <c r="J83" s="2">
        <f t="shared" si="11"/>
        <v>7.0601319546446592E-2</v>
      </c>
      <c r="K83" s="2">
        <f t="shared" si="11"/>
        <v>5.4053331715329209E-2</v>
      </c>
      <c r="L83">
        <v>3.3000000000000007</v>
      </c>
      <c r="M83" s="2">
        <f t="shared" si="12"/>
        <v>4.0253807106599027</v>
      </c>
    </row>
    <row r="84" spans="1:13" x14ac:dyDescent="0.2">
      <c r="A84" s="1" t="s">
        <v>83</v>
      </c>
      <c r="B84" s="1" t="str">
        <f t="shared" si="7"/>
        <v>2000</v>
      </c>
      <c r="C84" s="1" t="str">
        <f t="shared" si="8"/>
        <v>3</v>
      </c>
      <c r="D84">
        <v>8476947.3965903595</v>
      </c>
      <c r="E84">
        <v>1657794.8124251899</v>
      </c>
      <c r="F84">
        <v>2682480.0604403801</v>
      </c>
      <c r="G84" s="2">
        <v>13028995.3636481</v>
      </c>
      <c r="H84" s="2">
        <f t="shared" si="9"/>
        <v>7.1784005424732317E-2</v>
      </c>
      <c r="I84" s="2">
        <f t="shared" si="10"/>
        <v>2.6551927409483242E-2</v>
      </c>
      <c r="J84" s="2">
        <f t="shared" si="11"/>
        <v>6.4190135058979136E-2</v>
      </c>
      <c r="K84" s="2">
        <f t="shared" si="11"/>
        <v>5.3676029028566052E-2</v>
      </c>
      <c r="L84">
        <v>4.0833333333333339</v>
      </c>
      <c r="M84" s="2">
        <f t="shared" si="12"/>
        <v>1.5843881856540059</v>
      </c>
    </row>
    <row r="85" spans="1:13" x14ac:dyDescent="0.2">
      <c r="A85" s="1" t="s">
        <v>84</v>
      </c>
      <c r="B85" s="1" t="str">
        <f t="shared" si="7"/>
        <v>2000</v>
      </c>
      <c r="C85" s="1" t="str">
        <f t="shared" si="8"/>
        <v>4</v>
      </c>
      <c r="D85">
        <v>8569607.9930837899</v>
      </c>
      <c r="E85">
        <v>1647726.03343885</v>
      </c>
      <c r="F85">
        <v>2618784.1833382598</v>
      </c>
      <c r="G85" s="2">
        <v>12942299.157580201</v>
      </c>
      <c r="H85" s="2">
        <f t="shared" si="9"/>
        <v>7.5108136562645936E-2</v>
      </c>
      <c r="I85" s="2">
        <f t="shared" si="10"/>
        <v>1.819681944898744E-2</v>
      </c>
      <c r="J85" s="2">
        <f t="shared" si="11"/>
        <v>1.8974072854736797E-2</v>
      </c>
      <c r="K85" s="2">
        <f t="shared" si="11"/>
        <v>3.5914293701839989E-2</v>
      </c>
      <c r="L85">
        <v>5.2000000000000011</v>
      </c>
      <c r="M85" s="2">
        <f t="shared" si="12"/>
        <v>1.0051413881748059</v>
      </c>
    </row>
    <row r="86" spans="1:13" x14ac:dyDescent="0.2">
      <c r="A86" s="1" t="s">
        <v>85</v>
      </c>
      <c r="B86" s="1" t="str">
        <f t="shared" si="7"/>
        <v>2001</v>
      </c>
      <c r="C86" s="1" t="str">
        <f t="shared" si="8"/>
        <v>1</v>
      </c>
      <c r="D86">
        <v>8573781.0502340905</v>
      </c>
      <c r="E86">
        <v>1608320.0324019601</v>
      </c>
      <c r="F86">
        <v>2511030.7791418498</v>
      </c>
      <c r="G86" s="2">
        <v>12951817.556270299</v>
      </c>
      <c r="H86" s="2">
        <f t="shared" si="9"/>
        <v>5.1252644041355516E-2</v>
      </c>
      <c r="I86" s="2">
        <f t="shared" si="10"/>
        <v>-3.396341327039968E-2</v>
      </c>
      <c r="J86" s="2">
        <f t="shared" si="11"/>
        <v>-5.4589853978969143E-2</v>
      </c>
      <c r="K86" s="2">
        <f t="shared" si="11"/>
        <v>1.7123408240395765E-2</v>
      </c>
      <c r="L86">
        <v>6.9999999999999991</v>
      </c>
      <c r="M86" s="2">
        <f t="shared" si="12"/>
        <v>0.68134507606084815</v>
      </c>
    </row>
    <row r="87" spans="1:13" x14ac:dyDescent="0.2">
      <c r="A87" s="1" t="s">
        <v>86</v>
      </c>
      <c r="B87" s="1" t="str">
        <f t="shared" si="7"/>
        <v>2001</v>
      </c>
      <c r="C87" s="1" t="str">
        <f t="shared" si="8"/>
        <v>2</v>
      </c>
      <c r="D87">
        <v>8586744.1990759708</v>
      </c>
      <c r="E87">
        <v>1605950.02383688</v>
      </c>
      <c r="F87">
        <v>2428697.2324183802</v>
      </c>
      <c r="G87" s="2">
        <v>12879983.3331112</v>
      </c>
      <c r="H87" s="2">
        <f t="shared" si="9"/>
        <v>3.0780905320098435E-2</v>
      </c>
      <c r="I87" s="2">
        <f t="shared" si="10"/>
        <v>-3.0715857928970552E-2</v>
      </c>
      <c r="J87" s="2">
        <f t="shared" si="11"/>
        <v>-9.8374314982610692E-2</v>
      </c>
      <c r="K87" s="2">
        <f t="shared" si="11"/>
        <v>-3.7559859707004114E-3</v>
      </c>
      <c r="L87">
        <v>4.6499999999999977</v>
      </c>
      <c r="M87" s="2">
        <f t="shared" si="12"/>
        <v>0.40909090909090806</v>
      </c>
    </row>
    <row r="88" spans="1:13" x14ac:dyDescent="0.2">
      <c r="A88" s="1" t="s">
        <v>87</v>
      </c>
      <c r="B88" s="1" t="str">
        <f t="shared" si="7"/>
        <v>2001</v>
      </c>
      <c r="C88" s="1" t="str">
        <f t="shared" si="8"/>
        <v>3</v>
      </c>
      <c r="D88">
        <v>8610182.9264827501</v>
      </c>
      <c r="E88">
        <v>1616469.36899625</v>
      </c>
      <c r="F88">
        <v>2484807.5655930201</v>
      </c>
      <c r="G88" s="2">
        <v>12883110.9350201</v>
      </c>
      <c r="H88" s="2">
        <f t="shared" si="9"/>
        <v>1.5717394913407304E-2</v>
      </c>
      <c r="I88" s="2">
        <f t="shared" si="10"/>
        <v>-2.4927960396066668E-2</v>
      </c>
      <c r="J88" s="2">
        <f t="shared" si="11"/>
        <v>-7.3690201005597922E-2</v>
      </c>
      <c r="K88" s="2">
        <f t="shared" si="11"/>
        <v>-1.1196905406461982E-2</v>
      </c>
      <c r="L88">
        <v>1.7533333333333339</v>
      </c>
      <c r="M88" s="2">
        <f t="shared" si="12"/>
        <v>-0.57061224489795914</v>
      </c>
    </row>
    <row r="89" spans="1:13" x14ac:dyDescent="0.2">
      <c r="A89" s="1" t="s">
        <v>88</v>
      </c>
      <c r="B89" s="1" t="str">
        <f t="shared" si="7"/>
        <v>2001</v>
      </c>
      <c r="C89" s="1" t="str">
        <f t="shared" si="8"/>
        <v>4</v>
      </c>
      <c r="D89">
        <v>8672772.4445971604</v>
      </c>
      <c r="E89">
        <v>1615924.84273422</v>
      </c>
      <c r="F89">
        <v>2453686.62613142</v>
      </c>
      <c r="G89" s="2">
        <v>12822553.854417499</v>
      </c>
      <c r="H89" s="2">
        <f t="shared" si="9"/>
        <v>1.2038409644482067E-2</v>
      </c>
      <c r="I89" s="2">
        <f t="shared" si="10"/>
        <v>-1.9300047495310869E-2</v>
      </c>
      <c r="J89" s="2">
        <f t="shared" si="11"/>
        <v>-6.3043590326097021E-2</v>
      </c>
      <c r="K89" s="2">
        <f t="shared" si="11"/>
        <v>-9.2522434928084298E-3</v>
      </c>
      <c r="L89">
        <v>1.5333333333333323</v>
      </c>
      <c r="M89" s="2">
        <f t="shared" si="12"/>
        <v>-0.7051282051282054</v>
      </c>
    </row>
    <row r="90" spans="1:13" x14ac:dyDescent="0.2">
      <c r="A90" s="1" t="s">
        <v>89</v>
      </c>
      <c r="B90" s="1" t="str">
        <f t="shared" si="7"/>
        <v>2002</v>
      </c>
      <c r="C90" s="1" t="str">
        <f t="shared" si="8"/>
        <v>1</v>
      </c>
      <c r="D90">
        <v>8696489.1992740203</v>
      </c>
      <c r="E90">
        <v>1614964.0524201901</v>
      </c>
      <c r="F90">
        <v>2386602.0507493299</v>
      </c>
      <c r="G90" s="2">
        <v>12739173.9432266</v>
      </c>
      <c r="H90" s="2">
        <f t="shared" si="9"/>
        <v>1.4312022702816679E-2</v>
      </c>
      <c r="I90" s="2">
        <f t="shared" si="10"/>
        <v>4.1310310661910911E-3</v>
      </c>
      <c r="J90" s="2">
        <f t="shared" si="11"/>
        <v>-4.9552848744866353E-2</v>
      </c>
      <c r="K90" s="2">
        <f t="shared" si="11"/>
        <v>-1.6418051915868235E-2</v>
      </c>
      <c r="L90">
        <v>1.0366666666666671</v>
      </c>
      <c r="M90" s="2">
        <f t="shared" si="12"/>
        <v>-0.85190476190476183</v>
      </c>
    </row>
    <row r="91" spans="1:13" x14ac:dyDescent="0.2">
      <c r="A91" s="1" t="s">
        <v>90</v>
      </c>
      <c r="B91" s="1" t="str">
        <f t="shared" si="7"/>
        <v>2002</v>
      </c>
      <c r="C91" s="1" t="str">
        <f t="shared" si="8"/>
        <v>2</v>
      </c>
      <c r="D91">
        <v>8783757.3768819999</v>
      </c>
      <c r="E91">
        <v>1606844.2593293199</v>
      </c>
      <c r="F91">
        <v>2406519.4968038299</v>
      </c>
      <c r="G91" s="2">
        <v>12851471.641279999</v>
      </c>
      <c r="H91" s="2">
        <f t="shared" si="9"/>
        <v>2.2943874096916724E-2</v>
      </c>
      <c r="I91" s="2">
        <f t="shared" si="10"/>
        <v>5.5682647602162876E-4</v>
      </c>
      <c r="J91" s="2">
        <f t="shared" si="11"/>
        <v>-9.1315357544450998E-3</v>
      </c>
      <c r="K91" s="2">
        <f t="shared" si="11"/>
        <v>-2.2136435346080704E-3</v>
      </c>
      <c r="L91">
        <v>0.30999999999999961</v>
      </c>
      <c r="M91" s="2">
        <f t="shared" si="12"/>
        <v>-0.93333333333333335</v>
      </c>
    </row>
    <row r="92" spans="1:13" x14ac:dyDescent="0.2">
      <c r="A92" s="1" t="s">
        <v>91</v>
      </c>
      <c r="B92" s="1" t="str">
        <f t="shared" si="7"/>
        <v>2002</v>
      </c>
      <c r="C92" s="1" t="str">
        <f t="shared" si="8"/>
        <v>3</v>
      </c>
      <c r="D92">
        <v>8791981.7778638992</v>
      </c>
      <c r="E92">
        <v>1626824.3497804301</v>
      </c>
      <c r="F92">
        <v>2436265.7166156201</v>
      </c>
      <c r="G92" s="2">
        <v>12941125.3503424</v>
      </c>
      <c r="H92" s="2">
        <f t="shared" si="9"/>
        <v>2.1114400580501229E-2</v>
      </c>
      <c r="I92" s="2">
        <f t="shared" si="10"/>
        <v>6.4059245308248896E-3</v>
      </c>
      <c r="J92" s="2">
        <f t="shared" si="11"/>
        <v>-1.953545604478835E-2</v>
      </c>
      <c r="K92" s="2">
        <f t="shared" si="11"/>
        <v>4.503137139384536E-3</v>
      </c>
      <c r="L92">
        <v>9.9999999999997868E-3</v>
      </c>
      <c r="M92" s="2">
        <f t="shared" si="12"/>
        <v>-0.99429657794676818</v>
      </c>
    </row>
    <row r="93" spans="1:13" x14ac:dyDescent="0.2">
      <c r="A93" s="1" t="s">
        <v>92</v>
      </c>
      <c r="B93" s="1" t="str">
        <f t="shared" si="7"/>
        <v>2002</v>
      </c>
      <c r="C93" s="1" t="str">
        <f t="shared" si="8"/>
        <v>4</v>
      </c>
      <c r="D93">
        <v>8752839.0808828697</v>
      </c>
      <c r="E93">
        <v>1620340.91528569</v>
      </c>
      <c r="F93">
        <v>2433221.2589729298</v>
      </c>
      <c r="G93" s="2">
        <v>12981387.026618401</v>
      </c>
      <c r="H93" s="2">
        <f t="shared" si="9"/>
        <v>9.2319540028503785E-3</v>
      </c>
      <c r="I93" s="2">
        <f t="shared" si="10"/>
        <v>2.7328452627770838E-3</v>
      </c>
      <c r="J93" s="2">
        <f t="shared" si="11"/>
        <v>-8.3406605148909109E-3</v>
      </c>
      <c r="K93" s="2">
        <f t="shared" si="11"/>
        <v>1.2387015410832671E-2</v>
      </c>
      <c r="L93">
        <v>-1.6666666666666607E-2</v>
      </c>
      <c r="M93" s="2">
        <f t="shared" si="12"/>
        <v>-1.0108695652173914</v>
      </c>
    </row>
    <row r="94" spans="1:13" x14ac:dyDescent="0.2">
      <c r="A94" s="1" t="s">
        <v>93</v>
      </c>
      <c r="B94" s="1" t="str">
        <f t="shared" si="7"/>
        <v>2003</v>
      </c>
      <c r="C94" s="1" t="str">
        <f t="shared" si="8"/>
        <v>1</v>
      </c>
      <c r="D94">
        <v>8897515.0864392705</v>
      </c>
      <c r="E94">
        <v>1625092.1696309701</v>
      </c>
      <c r="F94">
        <v>2448133.3847541399</v>
      </c>
      <c r="G94" s="2">
        <v>13009322.4274766</v>
      </c>
      <c r="H94" s="2">
        <f t="shared" si="9"/>
        <v>2.3115751949882468E-2</v>
      </c>
      <c r="I94" s="2">
        <f t="shared" si="10"/>
        <v>6.2714195994653934E-3</v>
      </c>
      <c r="J94" s="2">
        <f t="shared" si="11"/>
        <v>2.5781983211441081E-2</v>
      </c>
      <c r="K94" s="2">
        <f t="shared" si="11"/>
        <v>2.1206122583296485E-2</v>
      </c>
      <c r="L94">
        <v>0.56333333333333258</v>
      </c>
      <c r="M94" s="2">
        <f t="shared" si="12"/>
        <v>-0.45659163987138357</v>
      </c>
    </row>
    <row r="95" spans="1:13" x14ac:dyDescent="0.2">
      <c r="A95" s="1" t="s">
        <v>94</v>
      </c>
      <c r="B95" s="1" t="str">
        <f t="shared" si="7"/>
        <v>2003</v>
      </c>
      <c r="C95" s="1" t="str">
        <f t="shared" si="8"/>
        <v>2</v>
      </c>
      <c r="D95">
        <v>8889624.0391592998</v>
      </c>
      <c r="E95">
        <v>1636787.8432491</v>
      </c>
      <c r="F95">
        <v>2447357.60757891</v>
      </c>
      <c r="G95" s="2">
        <v>13041761.948266299</v>
      </c>
      <c r="H95" s="2">
        <f t="shared" si="9"/>
        <v>1.2052548554668726E-2</v>
      </c>
      <c r="I95" s="2">
        <f t="shared" si="10"/>
        <v>1.8635025607446384E-2</v>
      </c>
      <c r="J95" s="2">
        <f t="shared" si="11"/>
        <v>1.6969781807011475E-2</v>
      </c>
      <c r="K95" s="2">
        <f t="shared" si="11"/>
        <v>1.4806888448095853E-2</v>
      </c>
      <c r="L95">
        <v>-1.6666666666665719E-2</v>
      </c>
      <c r="M95" s="2">
        <f t="shared" si="12"/>
        <v>-1.0537634408602121</v>
      </c>
    </row>
    <row r="96" spans="1:13" x14ac:dyDescent="0.2">
      <c r="A96" s="1" t="s">
        <v>95</v>
      </c>
      <c r="B96" s="1" t="str">
        <f t="shared" si="7"/>
        <v>2003</v>
      </c>
      <c r="C96" s="1" t="str">
        <f t="shared" si="8"/>
        <v>3</v>
      </c>
      <c r="D96">
        <v>8947816.8819095399</v>
      </c>
      <c r="E96">
        <v>1598463.0597958099</v>
      </c>
      <c r="F96">
        <v>2428652.2269522501</v>
      </c>
      <c r="G96" s="2">
        <v>13040655.5337731</v>
      </c>
      <c r="H96" s="2">
        <f t="shared" si="9"/>
        <v>1.7724684602736109E-2</v>
      </c>
      <c r="I96" s="2">
        <f t="shared" si="10"/>
        <v>-1.7433529310308182E-2</v>
      </c>
      <c r="J96" s="2">
        <f t="shared" si="11"/>
        <v>-3.1250653865237499E-3</v>
      </c>
      <c r="K96" s="2">
        <f t="shared" si="11"/>
        <v>7.6909991006358829E-3</v>
      </c>
      <c r="L96">
        <v>-0.65000000000000036</v>
      </c>
      <c r="M96" s="2">
        <f t="shared" si="12"/>
        <v>-66.000000000001421</v>
      </c>
    </row>
    <row r="97" spans="1:13" x14ac:dyDescent="0.2">
      <c r="A97" s="1" t="s">
        <v>96</v>
      </c>
      <c r="B97" s="1" t="str">
        <f t="shared" si="7"/>
        <v>2003</v>
      </c>
      <c r="C97" s="1" t="str">
        <f t="shared" si="8"/>
        <v>4</v>
      </c>
      <c r="D97">
        <v>9075912.3688441999</v>
      </c>
      <c r="E97">
        <v>1597617.9628277901</v>
      </c>
      <c r="F97">
        <v>2438457.51027419</v>
      </c>
      <c r="G97" s="2">
        <v>13177251.7043426</v>
      </c>
      <c r="H97" s="2">
        <f t="shared" si="9"/>
        <v>3.6910685204639103E-2</v>
      </c>
      <c r="I97" s="2">
        <f t="shared" si="10"/>
        <v>-1.4023562722844368E-2</v>
      </c>
      <c r="J97" s="2">
        <f t="shared" si="11"/>
        <v>2.1519832123571194E-3</v>
      </c>
      <c r="K97" s="2">
        <f t="shared" si="11"/>
        <v>1.50881163409255E-2</v>
      </c>
      <c r="L97">
        <v>-0.31333333333333302</v>
      </c>
      <c r="M97" s="2">
        <f t="shared" si="12"/>
        <v>-17.800000000000047</v>
      </c>
    </row>
    <row r="98" spans="1:13" x14ac:dyDescent="0.2">
      <c r="A98" s="1" t="s">
        <v>97</v>
      </c>
      <c r="B98" s="1" t="str">
        <f t="shared" si="7"/>
        <v>2004</v>
      </c>
      <c r="C98" s="1" t="str">
        <f t="shared" si="8"/>
        <v>1</v>
      </c>
      <c r="D98">
        <v>9149908.0960938707</v>
      </c>
      <c r="E98">
        <v>1602103.91565942</v>
      </c>
      <c r="F98">
        <v>2562133.0050106798</v>
      </c>
      <c r="G98" s="2">
        <v>13355347.851385999</v>
      </c>
      <c r="H98" s="2">
        <f t="shared" si="9"/>
        <v>2.8366685215209481E-2</v>
      </c>
      <c r="I98" s="2">
        <f t="shared" si="10"/>
        <v>-1.41458154812046E-2</v>
      </c>
      <c r="J98" s="2">
        <f t="shared" si="11"/>
        <v>4.6565935077915947E-2</v>
      </c>
      <c r="K98" s="2">
        <f t="shared" si="11"/>
        <v>2.6598266423051346E-2</v>
      </c>
      <c r="L98">
        <v>-0.4866666666666668</v>
      </c>
      <c r="M98" s="2">
        <f t="shared" si="12"/>
        <v>-1.8639053254437883</v>
      </c>
    </row>
    <row r="99" spans="1:13" x14ac:dyDescent="0.2">
      <c r="A99" s="1" t="s">
        <v>98</v>
      </c>
      <c r="B99" s="1" t="str">
        <f t="shared" si="7"/>
        <v>2004</v>
      </c>
      <c r="C99" s="1" t="str">
        <f t="shared" si="8"/>
        <v>2</v>
      </c>
      <c r="D99">
        <v>9304854.51031016</v>
      </c>
      <c r="E99">
        <v>1606369.5210317001</v>
      </c>
      <c r="F99">
        <v>2615286.72178593</v>
      </c>
      <c r="G99" s="2">
        <v>13570909.5563988</v>
      </c>
      <c r="H99" s="2">
        <f t="shared" si="9"/>
        <v>4.6709564917677769E-2</v>
      </c>
      <c r="I99" s="2">
        <f t="shared" si="10"/>
        <v>-1.8584156977252572E-2</v>
      </c>
      <c r="J99" s="2">
        <f t="shared" si="11"/>
        <v>6.8616500378604964E-2</v>
      </c>
      <c r="K99" s="2">
        <f t="shared" si="11"/>
        <v>4.0573322088802745E-2</v>
      </c>
      <c r="L99">
        <v>-1.3333333333333641E-2</v>
      </c>
      <c r="M99" s="2">
        <f t="shared" si="12"/>
        <v>0.19999999999993606</v>
      </c>
    </row>
    <row r="100" spans="1:13" x14ac:dyDescent="0.2">
      <c r="A100" s="1" t="s">
        <v>99</v>
      </c>
      <c r="B100" s="1" t="str">
        <f t="shared" si="7"/>
        <v>2004</v>
      </c>
      <c r="C100" s="1" t="str">
        <f t="shared" si="8"/>
        <v>3</v>
      </c>
      <c r="D100">
        <v>9439442.1983000208</v>
      </c>
      <c r="E100">
        <v>1583849.79006537</v>
      </c>
      <c r="F100">
        <v>2597113.6416265899</v>
      </c>
      <c r="G100" s="2">
        <v>13552040.8566071</v>
      </c>
      <c r="H100" s="2">
        <f t="shared" si="9"/>
        <v>5.4943605002068824E-2</v>
      </c>
      <c r="I100" s="2">
        <f t="shared" si="10"/>
        <v>-9.142075345993041E-3</v>
      </c>
      <c r="J100" s="2">
        <f t="shared" si="11"/>
        <v>6.9364157125841111E-2</v>
      </c>
      <c r="K100" s="2">
        <f t="shared" si="11"/>
        <v>3.9214694499797052E-2</v>
      </c>
      <c r="L100">
        <v>6.6666666666668206E-3</v>
      </c>
      <c r="M100" s="2">
        <f t="shared" si="12"/>
        <v>1.0102564102564104</v>
      </c>
    </row>
    <row r="101" spans="1:13" x14ac:dyDescent="0.2">
      <c r="A101" s="1" t="s">
        <v>100</v>
      </c>
      <c r="B101" s="1" t="str">
        <f t="shared" si="7"/>
        <v>2004</v>
      </c>
      <c r="C101" s="1" t="str">
        <f t="shared" si="8"/>
        <v>4</v>
      </c>
      <c r="D101">
        <v>9552035.6566963494</v>
      </c>
      <c r="E101">
        <v>1602586.50817256</v>
      </c>
      <c r="F101">
        <v>2669202.8397854101</v>
      </c>
      <c r="G101" s="2">
        <v>13718224.479824699</v>
      </c>
      <c r="H101" s="2">
        <f t="shared" si="9"/>
        <v>5.2460101916209097E-2</v>
      </c>
      <c r="I101" s="2">
        <f t="shared" si="10"/>
        <v>3.1099708818844336E-3</v>
      </c>
      <c r="J101" s="2">
        <f t="shared" si="11"/>
        <v>9.4627578515925903E-2</v>
      </c>
      <c r="K101" s="2">
        <f t="shared" si="11"/>
        <v>4.1053535867712113E-2</v>
      </c>
      <c r="L101">
        <v>0.23666666666666725</v>
      </c>
      <c r="M101" s="2">
        <f t="shared" si="12"/>
        <v>1.7553191489361728</v>
      </c>
    </row>
    <row r="102" spans="1:13" x14ac:dyDescent="0.2">
      <c r="A102" s="1" t="s">
        <v>101</v>
      </c>
      <c r="B102" s="1" t="str">
        <f t="shared" si="7"/>
        <v>2005</v>
      </c>
      <c r="C102" s="1" t="str">
        <f t="shared" si="8"/>
        <v>1</v>
      </c>
      <c r="D102">
        <v>9570837.1148747597</v>
      </c>
      <c r="E102">
        <v>1611354.2879300299</v>
      </c>
      <c r="F102">
        <v>2723259.6161541902</v>
      </c>
      <c r="G102" s="2">
        <v>13739829.364852499</v>
      </c>
      <c r="H102" s="2">
        <f t="shared" si="9"/>
        <v>4.600363351852519E-2</v>
      </c>
      <c r="I102" s="2">
        <f t="shared" si="10"/>
        <v>5.7738903077348335E-3</v>
      </c>
      <c r="J102" s="2">
        <f t="shared" si="11"/>
        <v>6.2887684139894484E-2</v>
      </c>
      <c r="K102" s="2">
        <f t="shared" si="11"/>
        <v>2.878858100476947E-2</v>
      </c>
      <c r="L102">
        <v>1.706666666666667</v>
      </c>
      <c r="M102" s="2">
        <f t="shared" si="12"/>
        <v>4.506849315068493</v>
      </c>
    </row>
    <row r="103" spans="1:13" x14ac:dyDescent="0.2">
      <c r="A103" s="1" t="s">
        <v>102</v>
      </c>
      <c r="B103" s="1" t="str">
        <f t="shared" si="7"/>
        <v>2005</v>
      </c>
      <c r="C103" s="1" t="str">
        <f t="shared" si="8"/>
        <v>2</v>
      </c>
      <c r="D103">
        <v>9575324.9577212799</v>
      </c>
      <c r="E103">
        <v>1616957.4031005199</v>
      </c>
      <c r="F103">
        <v>2722927.10609922</v>
      </c>
      <c r="G103" s="2">
        <v>13780012.591603201</v>
      </c>
      <c r="H103" s="2">
        <f t="shared" si="9"/>
        <v>2.9067670763839197E-2</v>
      </c>
      <c r="I103" s="2">
        <f t="shared" si="10"/>
        <v>6.5911871024667496E-3</v>
      </c>
      <c r="J103" s="2">
        <f t="shared" si="11"/>
        <v>4.1158158077514509E-2</v>
      </c>
      <c r="K103" s="2">
        <f t="shared" si="11"/>
        <v>1.5408181326048804E-2</v>
      </c>
      <c r="L103">
        <v>2.1900000000000004</v>
      </c>
      <c r="M103" s="2">
        <f t="shared" si="12"/>
        <v>165.24999999999625</v>
      </c>
    </row>
    <row r="104" spans="1:13" x14ac:dyDescent="0.2">
      <c r="A104" s="1" t="s">
        <v>103</v>
      </c>
      <c r="B104" s="1" t="str">
        <f t="shared" si="7"/>
        <v>2005</v>
      </c>
      <c r="C104" s="1" t="str">
        <f t="shared" si="8"/>
        <v>3</v>
      </c>
      <c r="D104">
        <v>9694071.9873448592</v>
      </c>
      <c r="E104">
        <v>1643523.8001236899</v>
      </c>
      <c r="F104">
        <v>2768739.4281318998</v>
      </c>
      <c r="G104" s="2">
        <v>13908986.730756</v>
      </c>
      <c r="H104" s="2">
        <f t="shared" si="9"/>
        <v>2.6975088537614593E-2</v>
      </c>
      <c r="I104" s="2">
        <f t="shared" si="10"/>
        <v>3.7676558997338364E-2</v>
      </c>
      <c r="J104" s="2">
        <f t="shared" si="11"/>
        <v>6.6083279435481104E-2</v>
      </c>
      <c r="K104" s="2">
        <f t="shared" si="11"/>
        <v>2.6338901861772054E-2</v>
      </c>
      <c r="L104">
        <v>2.7800000000000002</v>
      </c>
      <c r="M104" s="2">
        <f t="shared" si="12"/>
        <v>415.99999999999039</v>
      </c>
    </row>
    <row r="105" spans="1:13" x14ac:dyDescent="0.2">
      <c r="A105" s="1" t="s">
        <v>104</v>
      </c>
      <c r="B105" s="1" t="str">
        <f t="shared" si="7"/>
        <v>2005</v>
      </c>
      <c r="C105" s="1" t="str">
        <f t="shared" si="8"/>
        <v>4</v>
      </c>
      <c r="D105">
        <v>9712555.7594002094</v>
      </c>
      <c r="E105">
        <v>1666558.61312906</v>
      </c>
      <c r="F105">
        <v>2864881.55895185</v>
      </c>
      <c r="G105" s="2">
        <v>14128523.288932901</v>
      </c>
      <c r="H105" s="2">
        <f t="shared" si="9"/>
        <v>1.6804805642798158E-2</v>
      </c>
      <c r="I105" s="2">
        <f t="shared" si="10"/>
        <v>3.9918035394824219E-2</v>
      </c>
      <c r="J105" s="2">
        <f t="shared" si="11"/>
        <v>7.3309797310934788E-2</v>
      </c>
      <c r="K105" s="2">
        <f t="shared" si="11"/>
        <v>2.9909031574138847E-2</v>
      </c>
      <c r="L105">
        <v>3.2000000000000006</v>
      </c>
      <c r="M105" s="2">
        <f t="shared" si="12"/>
        <v>12.52112676056335</v>
      </c>
    </row>
    <row r="106" spans="1:13" x14ac:dyDescent="0.2">
      <c r="A106" s="1" t="s">
        <v>105</v>
      </c>
      <c r="B106" s="1" t="str">
        <f t="shared" si="7"/>
        <v>2006</v>
      </c>
      <c r="C106" s="1" t="str">
        <f t="shared" si="8"/>
        <v>1</v>
      </c>
      <c r="D106">
        <v>9932316.38904172</v>
      </c>
      <c r="E106">
        <v>1689328.9897089701</v>
      </c>
      <c r="F106">
        <v>2933576.20938267</v>
      </c>
      <c r="G106" s="2">
        <v>14375203.8808695</v>
      </c>
      <c r="H106" s="2">
        <f t="shared" si="9"/>
        <v>3.7768825216464928E-2</v>
      </c>
      <c r="I106" s="2">
        <f t="shared" si="10"/>
        <v>4.839078678290399E-2</v>
      </c>
      <c r="J106" s="2">
        <f t="shared" si="11"/>
        <v>7.7229725723135675E-2</v>
      </c>
      <c r="K106" s="2">
        <f t="shared" si="11"/>
        <v>4.6243261043862463E-2</v>
      </c>
      <c r="L106">
        <v>1.9000000000000008</v>
      </c>
      <c r="M106" s="2">
        <f t="shared" si="12"/>
        <v>0.11328125000000025</v>
      </c>
    </row>
    <row r="107" spans="1:13" x14ac:dyDescent="0.2">
      <c r="A107" s="1" t="s">
        <v>106</v>
      </c>
      <c r="B107" s="1" t="str">
        <f t="shared" si="7"/>
        <v>2006</v>
      </c>
      <c r="C107" s="1" t="str">
        <f t="shared" si="8"/>
        <v>2</v>
      </c>
      <c r="D107">
        <v>10045752.7646219</v>
      </c>
      <c r="E107">
        <v>1689096.2547073599</v>
      </c>
      <c r="F107">
        <v>3019541.9694984602</v>
      </c>
      <c r="G107" s="2">
        <v>14519950.2550516</v>
      </c>
      <c r="H107" s="2">
        <f t="shared" si="9"/>
        <v>4.9129174098815349E-2</v>
      </c>
      <c r="I107" s="2">
        <f t="shared" si="10"/>
        <v>4.4613946829096182E-2</v>
      </c>
      <c r="J107" s="2">
        <f t="shared" si="11"/>
        <v>0.10893235545484777</v>
      </c>
      <c r="K107" s="2">
        <f t="shared" si="11"/>
        <v>5.3696443202038667E-2</v>
      </c>
      <c r="L107">
        <v>2.003333333333333</v>
      </c>
      <c r="M107" s="2">
        <f t="shared" si="12"/>
        <v>-8.5235920852359537E-2</v>
      </c>
    </row>
    <row r="108" spans="1:13" x14ac:dyDescent="0.2">
      <c r="A108" s="1" t="s">
        <v>107</v>
      </c>
      <c r="B108" s="1" t="str">
        <f t="shared" si="7"/>
        <v>2006</v>
      </c>
      <c r="C108" s="1" t="str">
        <f t="shared" si="8"/>
        <v>3</v>
      </c>
      <c r="D108">
        <v>10044761.3950454</v>
      </c>
      <c r="E108">
        <v>1671294.86394946</v>
      </c>
      <c r="F108">
        <v>3072895.4921897599</v>
      </c>
      <c r="G108" s="2">
        <v>14564503.5592086</v>
      </c>
      <c r="H108" s="2">
        <f t="shared" si="9"/>
        <v>3.6175655406556553E-2</v>
      </c>
      <c r="I108" s="2">
        <f t="shared" si="10"/>
        <v>1.6897269040874265E-2</v>
      </c>
      <c r="J108" s="2">
        <f t="shared" si="11"/>
        <v>0.10985362543237867</v>
      </c>
      <c r="K108" s="2">
        <f t="shared" si="11"/>
        <v>4.7129013862893421E-2</v>
      </c>
      <c r="L108">
        <v>1.3966666666666661</v>
      </c>
      <c r="M108" s="2">
        <f t="shared" si="12"/>
        <v>-0.49760191846522805</v>
      </c>
    </row>
    <row r="109" spans="1:13" x14ac:dyDescent="0.2">
      <c r="A109" s="1" t="s">
        <v>108</v>
      </c>
      <c r="B109" s="1" t="str">
        <f t="shared" si="7"/>
        <v>2006</v>
      </c>
      <c r="C109" s="1" t="str">
        <f t="shared" si="8"/>
        <v>4</v>
      </c>
      <c r="D109">
        <v>10092712.0940884</v>
      </c>
      <c r="E109">
        <v>1664810.0981761899</v>
      </c>
      <c r="F109">
        <v>3087043.5959010599</v>
      </c>
      <c r="G109" s="2">
        <v>14594527.964783899</v>
      </c>
      <c r="H109" s="2">
        <f t="shared" si="9"/>
        <v>3.9140710653862605E-2</v>
      </c>
      <c r="I109" s="2">
        <f t="shared" si="10"/>
        <v>-1.0491769920933942E-3</v>
      </c>
      <c r="J109" s="2">
        <f t="shared" si="11"/>
        <v>7.7546674226382478E-2</v>
      </c>
      <c r="K109" s="2">
        <f t="shared" si="11"/>
        <v>3.2983254252482816E-2</v>
      </c>
      <c r="L109">
        <v>0.75</v>
      </c>
      <c r="M109" s="2">
        <f t="shared" si="12"/>
        <v>-0.765625</v>
      </c>
    </row>
    <row r="110" spans="1:13" x14ac:dyDescent="0.2">
      <c r="A110" s="1" t="s">
        <v>109</v>
      </c>
      <c r="B110" s="1" t="str">
        <f t="shared" si="7"/>
        <v>2007</v>
      </c>
      <c r="C110" s="1" t="str">
        <f t="shared" si="8"/>
        <v>1</v>
      </c>
      <c r="D110">
        <v>10231273.6663149</v>
      </c>
      <c r="E110">
        <v>1680848.26200074</v>
      </c>
      <c r="F110">
        <v>3074347.90996789</v>
      </c>
      <c r="G110" s="2">
        <v>14698367.6903452</v>
      </c>
      <c r="H110" s="2">
        <f t="shared" si="9"/>
        <v>3.0099451685109243E-2</v>
      </c>
      <c r="I110" s="2">
        <f t="shared" si="10"/>
        <v>-5.0201753239853238E-3</v>
      </c>
      <c r="J110" s="2">
        <f t="shared" si="11"/>
        <v>4.7986379264659852E-2</v>
      </c>
      <c r="K110" s="2">
        <f t="shared" si="11"/>
        <v>2.2480641815853849E-2</v>
      </c>
      <c r="L110">
        <v>0.75666666666666593</v>
      </c>
      <c r="M110" s="2">
        <f t="shared" si="12"/>
        <v>-0.60175438596491282</v>
      </c>
    </row>
    <row r="111" spans="1:13" x14ac:dyDescent="0.2">
      <c r="A111" s="1" t="s">
        <v>110</v>
      </c>
      <c r="B111" s="1" t="str">
        <f t="shared" si="7"/>
        <v>2007</v>
      </c>
      <c r="C111" s="1" t="str">
        <f t="shared" si="8"/>
        <v>2</v>
      </c>
      <c r="D111">
        <v>10332961.4452581</v>
      </c>
      <c r="E111">
        <v>1704119.6023613601</v>
      </c>
      <c r="F111">
        <v>3138080.3430941398</v>
      </c>
      <c r="G111" s="2">
        <v>14812278.6541827</v>
      </c>
      <c r="H111" s="2">
        <f t="shared" si="9"/>
        <v>2.8590060632157025E-2</v>
      </c>
      <c r="I111" s="2">
        <f t="shared" si="10"/>
        <v>8.8943111513813573E-3</v>
      </c>
      <c r="J111" s="2">
        <f t="shared" si="11"/>
        <v>3.9257071036958836E-2</v>
      </c>
      <c r="K111" s="2">
        <f t="shared" si="11"/>
        <v>2.0132878831964136E-2</v>
      </c>
      <c r="L111">
        <v>0.95666666666666744</v>
      </c>
      <c r="M111" s="2">
        <f t="shared" si="12"/>
        <v>-0.52246256239600619</v>
      </c>
    </row>
    <row r="112" spans="1:13" x14ac:dyDescent="0.2">
      <c r="A112" s="1" t="s">
        <v>111</v>
      </c>
      <c r="B112" s="1" t="str">
        <f t="shared" si="7"/>
        <v>2007</v>
      </c>
      <c r="C112" s="1" t="str">
        <f t="shared" si="8"/>
        <v>3</v>
      </c>
      <c r="D112">
        <v>10283449.328759201</v>
      </c>
      <c r="E112">
        <v>1718731.1029714299</v>
      </c>
      <c r="F112">
        <v>3238841.4348294502</v>
      </c>
      <c r="G112" s="2">
        <v>14904843.104296099</v>
      </c>
      <c r="H112" s="2">
        <f t="shared" si="9"/>
        <v>2.3762429422319035E-2</v>
      </c>
      <c r="I112" s="2">
        <f t="shared" si="10"/>
        <v>2.838292634363318E-2</v>
      </c>
      <c r="J112" s="2">
        <f t="shared" si="11"/>
        <v>5.4003119553355357E-2</v>
      </c>
      <c r="K112" s="2">
        <f t="shared" si="11"/>
        <v>2.3367740871079356E-2</v>
      </c>
      <c r="L112">
        <v>1.0666666666666669</v>
      </c>
      <c r="M112" s="2">
        <f t="shared" si="12"/>
        <v>-0.23627684964200429</v>
      </c>
    </row>
    <row r="113" spans="1:13" x14ac:dyDescent="0.2">
      <c r="A113" s="1" t="s">
        <v>112</v>
      </c>
      <c r="B113" s="1" t="str">
        <f t="shared" si="7"/>
        <v>2007</v>
      </c>
      <c r="C113" s="1" t="str">
        <f t="shared" si="8"/>
        <v>4</v>
      </c>
      <c r="D113">
        <v>10272802.355771899</v>
      </c>
      <c r="E113">
        <v>1733127.5554637699</v>
      </c>
      <c r="F113">
        <v>3369142.12749214</v>
      </c>
      <c r="G113" s="2">
        <v>14963042.6294774</v>
      </c>
      <c r="H113" s="2">
        <f t="shared" si="9"/>
        <v>1.7843594467435928E-2</v>
      </c>
      <c r="I113" s="2">
        <f t="shared" si="10"/>
        <v>4.1036186266783348E-2</v>
      </c>
      <c r="J113" s="2">
        <f t="shared" si="11"/>
        <v>9.1381453752595931E-2</v>
      </c>
      <c r="K113" s="2">
        <f t="shared" si="11"/>
        <v>2.5250194153775593E-2</v>
      </c>
      <c r="L113">
        <v>1.3666666666666658</v>
      </c>
      <c r="M113" s="2">
        <f t="shared" si="12"/>
        <v>0.82222222222222108</v>
      </c>
    </row>
    <row r="114" spans="1:13" x14ac:dyDescent="0.2">
      <c r="A114" s="1" t="s">
        <v>113</v>
      </c>
      <c r="B114" s="1" t="str">
        <f t="shared" si="7"/>
        <v>2008</v>
      </c>
      <c r="C114" s="1" t="str">
        <f t="shared" si="8"/>
        <v>1</v>
      </c>
      <c r="D114">
        <v>10418342.461404599</v>
      </c>
      <c r="E114">
        <v>1722848.39293624</v>
      </c>
      <c r="F114">
        <v>3414481.2677625301</v>
      </c>
      <c r="G114" s="2">
        <v>14937498.399397099</v>
      </c>
      <c r="H114" s="2">
        <f t="shared" si="9"/>
        <v>1.828401831392687E-2</v>
      </c>
      <c r="I114" s="2">
        <f t="shared" si="10"/>
        <v>2.4987461322360231E-2</v>
      </c>
      <c r="J114" s="2">
        <f t="shared" si="11"/>
        <v>0.11063593573513046</v>
      </c>
      <c r="K114" s="2">
        <f t="shared" si="11"/>
        <v>1.6269201729725097E-2</v>
      </c>
      <c r="L114">
        <v>1.4433333333333329</v>
      </c>
      <c r="M114" s="2">
        <f t="shared" si="12"/>
        <v>0.90748898678414225</v>
      </c>
    </row>
    <row r="115" spans="1:13" x14ac:dyDescent="0.2">
      <c r="A115" s="1" t="s">
        <v>114</v>
      </c>
      <c r="B115" s="1" t="str">
        <f t="shared" si="7"/>
        <v>2008</v>
      </c>
      <c r="C115" s="1" t="str">
        <f t="shared" si="8"/>
        <v>2</v>
      </c>
      <c r="D115">
        <v>10497079.785025099</v>
      </c>
      <c r="E115">
        <v>1757407.29021413</v>
      </c>
      <c r="F115">
        <v>3463445.5360666499</v>
      </c>
      <c r="G115" s="2">
        <v>15044806.4832222</v>
      </c>
      <c r="H115" s="2">
        <f t="shared" si="9"/>
        <v>1.5882991593113439E-2</v>
      </c>
      <c r="I115" s="2">
        <f t="shared" si="10"/>
        <v>3.1269922474297177E-2</v>
      </c>
      <c r="J115" s="2">
        <f t="shared" si="11"/>
        <v>0.10368287532488757</v>
      </c>
      <c r="K115" s="2">
        <f t="shared" si="11"/>
        <v>1.5698315868088116E-2</v>
      </c>
      <c r="L115">
        <v>0.56666666666666732</v>
      </c>
      <c r="M115" s="2">
        <f t="shared" si="12"/>
        <v>-0.40766550522648065</v>
      </c>
    </row>
    <row r="116" spans="1:13" x14ac:dyDescent="0.2">
      <c r="A116" s="1" t="s">
        <v>115</v>
      </c>
      <c r="B116" s="1" t="str">
        <f t="shared" si="7"/>
        <v>2008</v>
      </c>
      <c r="C116" s="1" t="str">
        <f t="shared" si="8"/>
        <v>3</v>
      </c>
      <c r="D116">
        <v>10408700.894259701</v>
      </c>
      <c r="E116">
        <v>1767183.8617542901</v>
      </c>
      <c r="F116">
        <v>3456555.8772334098</v>
      </c>
      <c r="G116" s="2">
        <v>15092197.5504099</v>
      </c>
      <c r="H116" s="2">
        <f t="shared" si="9"/>
        <v>1.2179917603154322E-2</v>
      </c>
      <c r="I116" s="2">
        <f t="shared" si="10"/>
        <v>2.8191005968934015E-2</v>
      </c>
      <c r="J116" s="2">
        <f t="shared" si="11"/>
        <v>6.7219852155381579E-2</v>
      </c>
      <c r="K116" s="2">
        <f t="shared" si="11"/>
        <v>1.257003812806312E-2</v>
      </c>
      <c r="L116">
        <v>0.36666666666666714</v>
      </c>
      <c r="M116" s="2">
        <f t="shared" si="12"/>
        <v>-0.65624999999999967</v>
      </c>
    </row>
    <row r="117" spans="1:13" x14ac:dyDescent="0.2">
      <c r="A117" s="1" t="s">
        <v>116</v>
      </c>
      <c r="B117" s="1" t="str">
        <f t="shared" si="7"/>
        <v>2008</v>
      </c>
      <c r="C117" s="1" t="str">
        <f t="shared" si="8"/>
        <v>4</v>
      </c>
      <c r="D117">
        <v>10016782.1455414</v>
      </c>
      <c r="E117">
        <v>1788913.8597409001</v>
      </c>
      <c r="F117">
        <v>3340126.89894776</v>
      </c>
      <c r="G117" s="2">
        <v>14850554.5196454</v>
      </c>
      <c r="H117" s="2">
        <f t="shared" si="9"/>
        <v>-2.4922139194730193E-2</v>
      </c>
      <c r="I117" s="2">
        <f t="shared" si="10"/>
        <v>3.2188227635791204E-2</v>
      </c>
      <c r="J117" s="2">
        <f t="shared" si="11"/>
        <v>-8.6120523998130857E-3</v>
      </c>
      <c r="K117" s="2">
        <f t="shared" si="11"/>
        <v>-7.517729690243404E-3</v>
      </c>
      <c r="L117">
        <v>-8.6666666666666892E-2</v>
      </c>
      <c r="M117" s="2">
        <f t="shared" si="12"/>
        <v>-1.0634146341463417</v>
      </c>
    </row>
    <row r="118" spans="1:13" x14ac:dyDescent="0.2">
      <c r="A118" s="1" t="s">
        <v>117</v>
      </c>
      <c r="B118" s="1" t="str">
        <f t="shared" si="7"/>
        <v>2009</v>
      </c>
      <c r="C118" s="1" t="str">
        <f t="shared" si="8"/>
        <v>1</v>
      </c>
      <c r="D118">
        <v>9600144.5344829801</v>
      </c>
      <c r="E118">
        <v>1790310.2417158899</v>
      </c>
      <c r="F118">
        <v>3002714.8408363299</v>
      </c>
      <c r="G118" s="2">
        <v>14094573.5678967</v>
      </c>
      <c r="H118" s="2">
        <f t="shared" si="9"/>
        <v>-7.8534366666548394E-2</v>
      </c>
      <c r="I118" s="2">
        <f t="shared" si="10"/>
        <v>3.9157159188380544E-2</v>
      </c>
      <c r="J118" s="2">
        <f t="shared" si="11"/>
        <v>-0.12059413850468303</v>
      </c>
      <c r="K118" s="2">
        <f t="shared" si="11"/>
        <v>-5.643012028938002E-2</v>
      </c>
      <c r="L118">
        <v>-0.58333333333333304</v>
      </c>
      <c r="M118" s="2">
        <f t="shared" si="12"/>
        <v>-1.4041570438799076</v>
      </c>
    </row>
    <row r="119" spans="1:13" x14ac:dyDescent="0.2">
      <c r="A119" s="1" t="s">
        <v>118</v>
      </c>
      <c r="B119" s="1" t="str">
        <f t="shared" si="7"/>
        <v>2009</v>
      </c>
      <c r="C119" s="1" t="str">
        <f t="shared" si="8"/>
        <v>2</v>
      </c>
      <c r="D119">
        <v>9500590.8528584</v>
      </c>
      <c r="E119">
        <v>1807986.27054719</v>
      </c>
      <c r="F119">
        <v>3004386.6564621599</v>
      </c>
      <c r="G119" s="2">
        <v>13880914.330772299</v>
      </c>
      <c r="H119" s="2">
        <f t="shared" si="9"/>
        <v>-9.4930109380350555E-2</v>
      </c>
      <c r="I119" s="2">
        <f t="shared" si="10"/>
        <v>2.8780454374294343E-2</v>
      </c>
      <c r="J119" s="2">
        <f t="shared" si="11"/>
        <v>-0.13254398685472962</v>
      </c>
      <c r="K119" s="2">
        <f t="shared" si="11"/>
        <v>-7.7361723046943789E-2</v>
      </c>
      <c r="L119">
        <v>-1.5366666666666671</v>
      </c>
      <c r="M119" s="2">
        <f t="shared" si="12"/>
        <v>-3.7117647058823504</v>
      </c>
    </row>
    <row r="120" spans="1:13" x14ac:dyDescent="0.2">
      <c r="A120" s="1" t="s">
        <v>119</v>
      </c>
      <c r="B120" s="1" t="str">
        <f t="shared" si="7"/>
        <v>2009</v>
      </c>
      <c r="C120" s="1" t="str">
        <f t="shared" si="8"/>
        <v>3</v>
      </c>
      <c r="D120">
        <v>9752309.2336373106</v>
      </c>
      <c r="E120">
        <v>1822278.6415047899</v>
      </c>
      <c r="F120">
        <v>3035261.6979538002</v>
      </c>
      <c r="G120" s="2">
        <v>14331662.6827373</v>
      </c>
      <c r="H120" s="2">
        <f t="shared" si="9"/>
        <v>-6.3061823688716406E-2</v>
      </c>
      <c r="I120" s="2">
        <f t="shared" si="10"/>
        <v>3.1176597377822971E-2</v>
      </c>
      <c r="J120" s="2">
        <f t="shared" si="11"/>
        <v>-0.12188264684348425</v>
      </c>
      <c r="K120" s="2">
        <f t="shared" si="11"/>
        <v>-5.0392586310397447E-2</v>
      </c>
      <c r="L120">
        <v>-1.6166666666666671</v>
      </c>
      <c r="M120" s="2">
        <f t="shared" si="12"/>
        <v>-5.4090909090909047</v>
      </c>
    </row>
    <row r="121" spans="1:13" x14ac:dyDescent="0.2">
      <c r="A121" s="1" t="s">
        <v>120</v>
      </c>
      <c r="B121" s="1" t="str">
        <f t="shared" si="7"/>
        <v>2009</v>
      </c>
      <c r="C121" s="1" t="str">
        <f t="shared" si="8"/>
        <v>4</v>
      </c>
      <c r="D121">
        <v>9961301.1794411596</v>
      </c>
      <c r="E121">
        <v>1824393.2576643999</v>
      </c>
      <c r="F121">
        <v>3031910.96253443</v>
      </c>
      <c r="G121" s="2">
        <v>14578769.866082201</v>
      </c>
      <c r="H121" s="2">
        <f t="shared" si="9"/>
        <v>-5.5388013130479663E-3</v>
      </c>
      <c r="I121" s="2">
        <f t="shared" si="10"/>
        <v>1.9832926963089505E-2</v>
      </c>
      <c r="J121" s="2">
        <f t="shared" si="11"/>
        <v>-9.227671454950627E-2</v>
      </c>
      <c r="K121" s="2">
        <f t="shared" si="11"/>
        <v>-1.830131347645389E-2</v>
      </c>
      <c r="L121">
        <v>-0.5299999999999998</v>
      </c>
      <c r="M121" s="2">
        <f t="shared" si="12"/>
        <v>-5.1153846153845972</v>
      </c>
    </row>
    <row r="122" spans="1:13" x14ac:dyDescent="0.2">
      <c r="A122" s="1" t="s">
        <v>121</v>
      </c>
      <c r="B122" s="1" t="str">
        <f t="shared" si="7"/>
        <v>2010</v>
      </c>
      <c r="C122" s="1" t="str">
        <f t="shared" si="8"/>
        <v>1</v>
      </c>
      <c r="D122">
        <v>9929216.8386518303</v>
      </c>
      <c r="E122">
        <v>1823229.2238310899</v>
      </c>
      <c r="F122">
        <v>3137291.7464558701</v>
      </c>
      <c r="G122" s="2">
        <v>14734268.4095241</v>
      </c>
      <c r="H122" s="2">
        <f t="shared" si="9"/>
        <v>3.4277848941424556E-2</v>
      </c>
      <c r="I122" s="2">
        <f t="shared" si="10"/>
        <v>1.8387305925061027E-2</v>
      </c>
      <c r="J122" s="2">
        <f t="shared" si="11"/>
        <v>4.481841025638561E-2</v>
      </c>
      <c r="K122" s="2">
        <f t="shared" si="11"/>
        <v>4.5385895397675416E-2</v>
      </c>
      <c r="L122">
        <v>-1.3366666666666664</v>
      </c>
      <c r="M122" s="2">
        <f t="shared" si="12"/>
        <v>-1.2914285714285723</v>
      </c>
    </row>
    <row r="123" spans="1:13" x14ac:dyDescent="0.2">
      <c r="A123" s="1" t="s">
        <v>122</v>
      </c>
      <c r="B123" s="1" t="str">
        <f t="shared" si="7"/>
        <v>2010</v>
      </c>
      <c r="C123" s="1" t="str">
        <f t="shared" si="8"/>
        <v>2</v>
      </c>
      <c r="D123">
        <v>10020441.189902401</v>
      </c>
      <c r="E123">
        <v>1856113.5451893399</v>
      </c>
      <c r="F123">
        <v>3149910.4186796001</v>
      </c>
      <c r="G123" s="2">
        <v>14891104.2759773</v>
      </c>
      <c r="H123" s="2">
        <f t="shared" si="9"/>
        <v>5.4717684941415573E-2</v>
      </c>
      <c r="I123" s="2">
        <f t="shared" si="10"/>
        <v>2.6619269972434093E-2</v>
      </c>
      <c r="J123" s="2">
        <f t="shared" si="11"/>
        <v>4.843709510706018E-2</v>
      </c>
      <c r="K123" s="2">
        <f t="shared" si="11"/>
        <v>7.2775461409305936E-2</v>
      </c>
      <c r="L123">
        <v>-0.54999999999999938</v>
      </c>
      <c r="M123" s="2">
        <f t="shared" si="12"/>
        <v>0.64208242950108507</v>
      </c>
    </row>
    <row r="124" spans="1:13" x14ac:dyDescent="0.2">
      <c r="A124" s="1" t="s">
        <v>123</v>
      </c>
      <c r="B124" s="1" t="str">
        <f t="shared" si="7"/>
        <v>2010</v>
      </c>
      <c r="C124" s="1" t="str">
        <f t="shared" si="8"/>
        <v>3</v>
      </c>
      <c r="D124">
        <v>10057467.911375601</v>
      </c>
      <c r="E124">
        <v>1868036.14690475</v>
      </c>
      <c r="F124">
        <v>3135034.7237943001</v>
      </c>
      <c r="G124" s="2">
        <v>15026996.824942401</v>
      </c>
      <c r="H124" s="2">
        <f t="shared" si="9"/>
        <v>3.1290914841558555E-2</v>
      </c>
      <c r="I124" s="2">
        <f t="shared" si="10"/>
        <v>2.5110048681783782E-2</v>
      </c>
      <c r="J124" s="2">
        <f t="shared" si="11"/>
        <v>3.2871309221132787E-2</v>
      </c>
      <c r="K124" s="2">
        <f t="shared" si="11"/>
        <v>4.8517339376305639E-2</v>
      </c>
      <c r="L124">
        <v>-0.22333333333333272</v>
      </c>
      <c r="M124" s="2">
        <f t="shared" si="12"/>
        <v>0.86185567010309316</v>
      </c>
    </row>
    <row r="125" spans="1:13" x14ac:dyDescent="0.2">
      <c r="A125" s="1" t="s">
        <v>124</v>
      </c>
      <c r="B125" s="1" t="str">
        <f t="shared" si="7"/>
        <v>2010</v>
      </c>
      <c r="C125" s="1" t="str">
        <f t="shared" si="8"/>
        <v>4</v>
      </c>
      <c r="D125">
        <v>10207778.971949499</v>
      </c>
      <c r="E125">
        <v>1863637.90067667</v>
      </c>
      <c r="F125">
        <v>3214188.9782642298</v>
      </c>
      <c r="G125" s="2">
        <v>15150629.891168</v>
      </c>
      <c r="H125" s="2">
        <f t="shared" si="9"/>
        <v>2.4743533808317921E-2</v>
      </c>
      <c r="I125" s="2">
        <f t="shared" si="10"/>
        <v>2.1511065581612237E-2</v>
      </c>
      <c r="J125" s="2">
        <f t="shared" si="11"/>
        <v>6.0119844541025154E-2</v>
      </c>
      <c r="K125" s="2">
        <f t="shared" si="11"/>
        <v>3.9225533453013973E-2</v>
      </c>
      <c r="L125">
        <v>-0.89000000000000012</v>
      </c>
      <c r="M125" s="2">
        <f t="shared" si="12"/>
        <v>-0.67924528301886877</v>
      </c>
    </row>
    <row r="126" spans="1:13" x14ac:dyDescent="0.2">
      <c r="A126" s="1" t="s">
        <v>125</v>
      </c>
      <c r="B126" s="1" t="str">
        <f t="shared" si="7"/>
        <v>2011</v>
      </c>
      <c r="C126" s="1" t="str">
        <f t="shared" si="8"/>
        <v>1</v>
      </c>
      <c r="D126">
        <v>10208866.1608232</v>
      </c>
      <c r="E126">
        <v>1875201.5646105399</v>
      </c>
      <c r="F126">
        <v>3228797.3959834999</v>
      </c>
      <c r="G126" s="2">
        <v>15267885.6909975</v>
      </c>
      <c r="H126" s="2">
        <f t="shared" si="9"/>
        <v>2.816428795096591E-2</v>
      </c>
      <c r="I126" s="2">
        <f t="shared" si="10"/>
        <v>2.8505653650198904E-2</v>
      </c>
      <c r="J126" s="2">
        <f t="shared" si="11"/>
        <v>2.9167083243374407E-2</v>
      </c>
      <c r="K126" s="2">
        <f t="shared" si="11"/>
        <v>3.621606900607801E-2</v>
      </c>
      <c r="L126">
        <v>-0.15000000000000036</v>
      </c>
      <c r="M126" s="2">
        <f t="shared" si="12"/>
        <v>0.88778054862842859</v>
      </c>
    </row>
    <row r="127" spans="1:13" x14ac:dyDescent="0.2">
      <c r="A127" s="1" t="s">
        <v>126</v>
      </c>
      <c r="B127" s="1" t="str">
        <f t="shared" si="7"/>
        <v>2011</v>
      </c>
      <c r="C127" s="1" t="str">
        <f t="shared" si="8"/>
        <v>2</v>
      </c>
      <c r="D127">
        <v>10364132.703823401</v>
      </c>
      <c r="E127">
        <v>1889589.8807580699</v>
      </c>
      <c r="F127">
        <v>3378745.1272038599</v>
      </c>
      <c r="G127" s="2">
        <v>15343110.867473099</v>
      </c>
      <c r="H127" s="2">
        <f t="shared" si="9"/>
        <v>3.4299040072939907E-2</v>
      </c>
      <c r="I127" s="2">
        <f t="shared" si="10"/>
        <v>1.8035715355611576E-2</v>
      </c>
      <c r="J127" s="2">
        <f t="shared" si="11"/>
        <v>7.2648005215394079E-2</v>
      </c>
      <c r="K127" s="2">
        <f t="shared" si="11"/>
        <v>3.0354135134557293E-2</v>
      </c>
      <c r="L127">
        <v>7.333333333333325E-2</v>
      </c>
      <c r="M127" s="2">
        <f t="shared" si="12"/>
        <v>1.1333333333333333</v>
      </c>
    </row>
    <row r="128" spans="1:13" x14ac:dyDescent="0.2">
      <c r="A128" s="1" t="s">
        <v>127</v>
      </c>
      <c r="B128" s="1" t="str">
        <f t="shared" si="7"/>
        <v>2011</v>
      </c>
      <c r="C128" s="1" t="str">
        <f t="shared" si="8"/>
        <v>3</v>
      </c>
      <c r="D128">
        <v>10497461.0713876</v>
      </c>
      <c r="E128">
        <v>1927096.25072187</v>
      </c>
      <c r="F128">
        <v>3461194.63011134</v>
      </c>
      <c r="G128" s="2">
        <v>15638012.9034307</v>
      </c>
      <c r="H128" s="2">
        <f t="shared" si="9"/>
        <v>4.3747905923153939E-2</v>
      </c>
      <c r="I128" s="2">
        <f t="shared" si="10"/>
        <v>3.16161461409512E-2</v>
      </c>
      <c r="J128" s="2">
        <f t="shared" si="11"/>
        <v>0.10403709529644121</v>
      </c>
      <c r="K128" s="2">
        <f t="shared" si="11"/>
        <v>4.0661223636788896E-2</v>
      </c>
      <c r="L128">
        <v>-1.9999999999999574E-2</v>
      </c>
      <c r="M128" s="2">
        <f t="shared" si="12"/>
        <v>0.91044776119403148</v>
      </c>
    </row>
    <row r="129" spans="1:13" x14ac:dyDescent="0.2">
      <c r="A129" s="1" t="s">
        <v>128</v>
      </c>
      <c r="B129" s="1" t="str">
        <f t="shared" si="7"/>
        <v>2011</v>
      </c>
      <c r="C129" s="1" t="str">
        <f t="shared" si="8"/>
        <v>4</v>
      </c>
      <c r="D129">
        <v>10501263.9141357</v>
      </c>
      <c r="E129">
        <v>1945416.71136824</v>
      </c>
      <c r="F129">
        <v>3552178.1261713998</v>
      </c>
      <c r="G129" s="2">
        <v>15749407.468297601</v>
      </c>
      <c r="H129" s="2">
        <f t="shared" si="9"/>
        <v>2.8751106679786458E-2</v>
      </c>
      <c r="I129" s="2">
        <f t="shared" si="10"/>
        <v>4.3881276862783689E-2</v>
      </c>
      <c r="J129" s="2">
        <f t="shared" si="11"/>
        <v>0.10515534406744668</v>
      </c>
      <c r="K129" s="2">
        <f t="shared" si="11"/>
        <v>3.952162922801352E-2</v>
      </c>
      <c r="L129">
        <v>-0.18999999999999995</v>
      </c>
      <c r="M129" s="2">
        <f t="shared" si="12"/>
        <v>0.78651685393258441</v>
      </c>
    </row>
    <row r="130" spans="1:13" x14ac:dyDescent="0.2">
      <c r="A130" s="1" t="s">
        <v>129</v>
      </c>
      <c r="B130" s="1" t="str">
        <f t="shared" si="7"/>
        <v>2012</v>
      </c>
      <c r="C130" s="1" t="str">
        <f t="shared" si="8"/>
        <v>1</v>
      </c>
      <c r="D130">
        <v>10599463.5832865</v>
      </c>
      <c r="E130">
        <v>1967914.9129510501</v>
      </c>
      <c r="F130">
        <v>3547342.6266222401</v>
      </c>
      <c r="G130" s="2">
        <v>15848649.079218199</v>
      </c>
      <c r="H130" s="2">
        <f t="shared" si="9"/>
        <v>3.8260607623815057E-2</v>
      </c>
      <c r="I130" s="2">
        <f t="shared" si="10"/>
        <v>4.9441804065348975E-2</v>
      </c>
      <c r="J130" s="2">
        <f t="shared" si="11"/>
        <v>9.8657546935276327E-2</v>
      </c>
      <c r="K130" s="2">
        <f t="shared" si="11"/>
        <v>3.8038232665256244E-2</v>
      </c>
      <c r="L130">
        <v>-0.6333333333333333</v>
      </c>
      <c r="M130" s="2">
        <f t="shared" si="12"/>
        <v>-3.2222222222222121</v>
      </c>
    </row>
    <row r="131" spans="1:13" x14ac:dyDescent="0.2">
      <c r="A131" s="1" t="s">
        <v>130</v>
      </c>
      <c r="B131" s="1" t="str">
        <f t="shared" ref="B131:B164" si="13">LEFT(A131,4)</f>
        <v>2012</v>
      </c>
      <c r="C131" s="1" t="str">
        <f t="shared" ref="C131:C164" si="14">RIGHT(A131,1)</f>
        <v>2</v>
      </c>
      <c r="D131">
        <v>10576207.520103</v>
      </c>
      <c r="E131">
        <v>1984814.4582519201</v>
      </c>
      <c r="F131">
        <v>3580273.7206026101</v>
      </c>
      <c r="G131" s="2">
        <v>15980724.451230001</v>
      </c>
      <c r="H131" s="2">
        <f t="shared" si="9"/>
        <v>2.0462379471594721E-2</v>
      </c>
      <c r="I131" s="2">
        <f t="shared" si="10"/>
        <v>5.0394309613707146E-2</v>
      </c>
      <c r="J131" s="2">
        <f t="shared" si="11"/>
        <v>5.9645988617534118E-2</v>
      </c>
      <c r="K131" s="2">
        <f t="shared" si="11"/>
        <v>4.1556995140315488E-2</v>
      </c>
      <c r="L131">
        <v>-0.61000000000000032</v>
      </c>
      <c r="M131" s="2">
        <f t="shared" si="12"/>
        <v>-9.3181818181818326</v>
      </c>
    </row>
    <row r="132" spans="1:13" x14ac:dyDescent="0.2">
      <c r="A132" s="1" t="s">
        <v>131</v>
      </c>
      <c r="B132" s="1" t="str">
        <f t="shared" si="13"/>
        <v>2012</v>
      </c>
      <c r="C132" s="1" t="str">
        <f t="shared" si="14"/>
        <v>3</v>
      </c>
      <c r="D132">
        <v>10621694.6359124</v>
      </c>
      <c r="E132">
        <v>1968871.8272721199</v>
      </c>
      <c r="F132">
        <v>3628000.0522441999</v>
      </c>
      <c r="G132" s="2">
        <v>16078652.869709101</v>
      </c>
      <c r="H132" s="2">
        <f t="shared" si="9"/>
        <v>1.1834629695690584E-2</v>
      </c>
      <c r="I132" s="2">
        <f t="shared" si="10"/>
        <v>2.1677991711416204E-2</v>
      </c>
      <c r="J132" s="2">
        <f t="shared" si="11"/>
        <v>4.8193020028895091E-2</v>
      </c>
      <c r="K132" s="2">
        <f t="shared" si="11"/>
        <v>2.8177490899865657E-2</v>
      </c>
      <c r="L132">
        <v>-1.3533333333333339</v>
      </c>
      <c r="M132" s="2">
        <f t="shared" si="12"/>
        <v>-66.666666666668135</v>
      </c>
    </row>
    <row r="133" spans="1:13" x14ac:dyDescent="0.2">
      <c r="A133" s="1" t="s">
        <v>132</v>
      </c>
      <c r="B133" s="1" t="str">
        <f t="shared" si="13"/>
        <v>2012</v>
      </c>
      <c r="C133" s="1" t="str">
        <f t="shared" si="14"/>
        <v>4</v>
      </c>
      <c r="D133">
        <v>10677711.0974232</v>
      </c>
      <c r="E133">
        <v>1973796.5408499199</v>
      </c>
      <c r="F133">
        <v>3551933.8187161698</v>
      </c>
      <c r="G133" s="2">
        <v>16215690.862600399</v>
      </c>
      <c r="H133" s="2">
        <f t="shared" si="9"/>
        <v>1.680247108635988E-2</v>
      </c>
      <c r="I133" s="2">
        <f t="shared" si="10"/>
        <v>1.458804651766356E-2</v>
      </c>
      <c r="J133" s="2">
        <f t="shared" si="11"/>
        <v>-6.8776803007161545E-5</v>
      </c>
      <c r="K133" s="2">
        <f t="shared" si="11"/>
        <v>2.9606408700860183E-2</v>
      </c>
      <c r="L133">
        <v>-0.83999999999999941</v>
      </c>
      <c r="M133" s="2">
        <f t="shared" si="12"/>
        <v>-3.4210526315789456</v>
      </c>
    </row>
    <row r="134" spans="1:13" x14ac:dyDescent="0.2">
      <c r="A134" s="1" t="s">
        <v>133</v>
      </c>
      <c r="B134" s="1" t="str">
        <f t="shared" si="13"/>
        <v>2013</v>
      </c>
      <c r="C134" s="1" t="str">
        <f t="shared" si="14"/>
        <v>1</v>
      </c>
      <c r="D134">
        <v>10820542.3356805</v>
      </c>
      <c r="E134">
        <v>1960381.14925576</v>
      </c>
      <c r="F134">
        <v>3549612.2949568401</v>
      </c>
      <c r="G134" s="2">
        <v>16261832.660982801</v>
      </c>
      <c r="H134" s="2">
        <f t="shared" si="9"/>
        <v>2.0857541578104256E-2</v>
      </c>
      <c r="I134" s="2">
        <f t="shared" si="10"/>
        <v>-3.8282974765370226E-3</v>
      </c>
      <c r="J134" s="2">
        <f t="shared" si="11"/>
        <v>6.3982213546742044E-4</v>
      </c>
      <c r="K134" s="2">
        <f t="shared" si="11"/>
        <v>2.6070586817799814E-2</v>
      </c>
      <c r="L134">
        <v>-0.44666666666666677</v>
      </c>
      <c r="M134" s="2">
        <f t="shared" si="12"/>
        <v>0.29473684210526296</v>
      </c>
    </row>
    <row r="135" spans="1:13" x14ac:dyDescent="0.2">
      <c r="A135" s="1" t="s">
        <v>134</v>
      </c>
      <c r="B135" s="1" t="str">
        <f t="shared" si="13"/>
        <v>2013</v>
      </c>
      <c r="C135" s="1" t="str">
        <f t="shared" si="14"/>
        <v>2</v>
      </c>
      <c r="D135">
        <v>10768645.110261399</v>
      </c>
      <c r="E135">
        <v>1956246.62506574</v>
      </c>
      <c r="F135">
        <v>3437821.1865624301</v>
      </c>
      <c r="G135" s="2">
        <v>16155461.308653301</v>
      </c>
      <c r="H135" s="2">
        <f t="shared" ref="H135:H156" si="15">(D135-D131)/ABS(D131)</f>
        <v>1.8195330395382132E-2</v>
      </c>
      <c r="I135" s="2">
        <f t="shared" ref="I135:I157" si="16">(E135-E131)/ABS(E131)</f>
        <v>-1.4393200869435708E-2</v>
      </c>
      <c r="J135" s="2">
        <f t="shared" ref="J135:K156" si="17">(F135-F131)/ABS(F131)</f>
        <v>-3.9788168491263647E-2</v>
      </c>
      <c r="K135" s="2">
        <f t="shared" si="17"/>
        <v>1.0934226289713094E-2</v>
      </c>
      <c r="L135">
        <v>-1.4600000000000004</v>
      </c>
      <c r="M135" s="2">
        <f t="shared" ref="M135:M157" si="18">(L135-L131)/ABS(L131)</f>
        <v>-1.393442622950819</v>
      </c>
    </row>
    <row r="136" spans="1:13" x14ac:dyDescent="0.2">
      <c r="A136" s="1" t="s">
        <v>135</v>
      </c>
      <c r="B136" s="1" t="str">
        <f t="shared" si="13"/>
        <v>2013</v>
      </c>
      <c r="C136" s="1" t="str">
        <f t="shared" si="14"/>
        <v>3</v>
      </c>
      <c r="D136">
        <v>10821641.643128499</v>
      </c>
      <c r="E136">
        <v>1999648.5486529099</v>
      </c>
      <c r="F136">
        <v>3406769.3007760802</v>
      </c>
      <c r="G136" s="2">
        <v>16312580.9661204</v>
      </c>
      <c r="H136" s="2">
        <f t="shared" si="15"/>
        <v>1.8824397995784056E-2</v>
      </c>
      <c r="I136" s="2">
        <f t="shared" si="16"/>
        <v>1.5631653089084662E-2</v>
      </c>
      <c r="J136" s="2">
        <f t="shared" si="17"/>
        <v>-6.0978706803289949E-2</v>
      </c>
      <c r="K136" s="2">
        <f t="shared" si="17"/>
        <v>1.4548986056661552E-2</v>
      </c>
      <c r="L136">
        <v>-0.52333333333333343</v>
      </c>
      <c r="M136" s="2">
        <f t="shared" si="18"/>
        <v>0.61330049261083752</v>
      </c>
    </row>
    <row r="137" spans="1:13" x14ac:dyDescent="0.2">
      <c r="A137" s="1" t="s">
        <v>136</v>
      </c>
      <c r="B137" s="1" t="str">
        <f t="shared" si="13"/>
        <v>2013</v>
      </c>
      <c r="C137" s="1" t="str">
        <f t="shared" si="14"/>
        <v>4</v>
      </c>
      <c r="D137">
        <v>10891234.2026146</v>
      </c>
      <c r="E137">
        <v>2022371.8484443701</v>
      </c>
      <c r="F137">
        <v>3441810.6597762601</v>
      </c>
      <c r="G137" s="2">
        <v>16409300.6554657</v>
      </c>
      <c r="H137" s="2">
        <f t="shared" si="15"/>
        <v>1.9997085821410618E-2</v>
      </c>
      <c r="I137" s="2">
        <f t="shared" si="16"/>
        <v>2.4610088521856255E-2</v>
      </c>
      <c r="J137" s="2">
        <f t="shared" si="17"/>
        <v>-3.1003719258404755E-2</v>
      </c>
      <c r="K137" s="2">
        <f t="shared" si="17"/>
        <v>1.1939657366793971E-2</v>
      </c>
      <c r="L137">
        <v>-0.90666666666666673</v>
      </c>
      <c r="M137" s="2">
        <f t="shared" si="18"/>
        <v>-7.9365079365080193E-2</v>
      </c>
    </row>
    <row r="138" spans="1:13" x14ac:dyDescent="0.2">
      <c r="A138" s="1" t="s">
        <v>137</v>
      </c>
      <c r="B138" s="1" t="str">
        <f t="shared" si="13"/>
        <v>2014</v>
      </c>
      <c r="C138" s="1" t="str">
        <f t="shared" si="14"/>
        <v>1</v>
      </c>
      <c r="D138">
        <v>10901673.7838447</v>
      </c>
      <c r="E138">
        <v>2010229.7380101399</v>
      </c>
      <c r="F138">
        <v>3475824.7868538699</v>
      </c>
      <c r="G138" s="2">
        <v>16524019.114212099</v>
      </c>
      <c r="H138" s="2">
        <f t="shared" si="15"/>
        <v>7.497909591524932E-3</v>
      </c>
      <c r="I138" s="2">
        <f t="shared" si="16"/>
        <v>2.5428008616234874E-2</v>
      </c>
      <c r="J138" s="2">
        <f t="shared" si="17"/>
        <v>-2.0787483807120231E-2</v>
      </c>
      <c r="K138" s="2">
        <f t="shared" si="17"/>
        <v>1.6122810921450799E-2</v>
      </c>
      <c r="L138">
        <v>-1.5833333333333339</v>
      </c>
      <c r="M138" s="2">
        <f t="shared" si="18"/>
        <v>-2.5447761194029854</v>
      </c>
    </row>
    <row r="139" spans="1:13" x14ac:dyDescent="0.2">
      <c r="A139" s="1" t="s">
        <v>138</v>
      </c>
      <c r="B139" s="1" t="str">
        <f t="shared" si="13"/>
        <v>2014</v>
      </c>
      <c r="C139" s="1" t="str">
        <f t="shared" si="14"/>
        <v>2</v>
      </c>
      <c r="D139">
        <v>11095925.642301099</v>
      </c>
      <c r="E139">
        <v>2013492.3910317901</v>
      </c>
      <c r="F139">
        <v>3553809.6429365799</v>
      </c>
      <c r="G139" s="2">
        <v>16725496.1885047</v>
      </c>
      <c r="H139" s="2">
        <f t="shared" si="15"/>
        <v>3.039198791385889E-2</v>
      </c>
      <c r="I139" s="2">
        <f t="shared" si="16"/>
        <v>2.9263061841257536E-2</v>
      </c>
      <c r="J139" s="2">
        <f t="shared" si="17"/>
        <v>3.3738943964717882E-2</v>
      </c>
      <c r="K139" s="2">
        <f t="shared" si="17"/>
        <v>3.5284345582015222E-2</v>
      </c>
      <c r="L139">
        <v>-1.0366666666666662</v>
      </c>
      <c r="M139" s="2">
        <f t="shared" si="18"/>
        <v>0.28995433789954389</v>
      </c>
    </row>
    <row r="140" spans="1:13" x14ac:dyDescent="0.2">
      <c r="A140" s="1" t="s">
        <v>139</v>
      </c>
      <c r="B140" s="1" t="str">
        <f t="shared" si="13"/>
        <v>2014</v>
      </c>
      <c r="C140" s="1" t="str">
        <f t="shared" si="14"/>
        <v>3</v>
      </c>
      <c r="D140">
        <v>11081572.918846</v>
      </c>
      <c r="E140">
        <v>2064721.86984851</v>
      </c>
      <c r="F140">
        <v>3535680.3313534502</v>
      </c>
      <c r="G140" s="2">
        <v>16783459.824043602</v>
      </c>
      <c r="H140" s="2">
        <f t="shared" si="15"/>
        <v>2.4019578940922624E-2</v>
      </c>
      <c r="I140" s="2">
        <f t="shared" si="16"/>
        <v>3.2542379129291296E-2</v>
      </c>
      <c r="J140" s="2">
        <f t="shared" si="17"/>
        <v>3.7839671312056074E-2</v>
      </c>
      <c r="K140" s="2">
        <f t="shared" si="17"/>
        <v>2.8865993609544102E-2</v>
      </c>
      <c r="L140">
        <v>-1.8366666666666673</v>
      </c>
      <c r="M140" s="2">
        <f t="shared" si="18"/>
        <v>-2.5095541401273893</v>
      </c>
    </row>
    <row r="141" spans="1:13" x14ac:dyDescent="0.2">
      <c r="A141" s="1" t="s">
        <v>140</v>
      </c>
      <c r="B141" s="1" t="str">
        <f t="shared" si="13"/>
        <v>2014</v>
      </c>
      <c r="C141" s="1" t="str">
        <f t="shared" si="14"/>
        <v>4</v>
      </c>
      <c r="D141">
        <v>11149739.7364983</v>
      </c>
      <c r="E141">
        <v>2058978.9780308299</v>
      </c>
      <c r="F141">
        <v>3666054.0679474198</v>
      </c>
      <c r="G141" s="2">
        <v>16966771.915599</v>
      </c>
      <c r="H141" s="2">
        <f t="shared" si="15"/>
        <v>2.3735191905215124E-2</v>
      </c>
      <c r="I141" s="2">
        <f t="shared" si="16"/>
        <v>1.8101087401220715E-2</v>
      </c>
      <c r="J141" s="2">
        <f t="shared" si="17"/>
        <v>6.5152743813553349E-2</v>
      </c>
      <c r="K141" s="2">
        <f t="shared" si="17"/>
        <v>3.3972883539531859E-2</v>
      </c>
      <c r="L141">
        <v>-1.9633333333333325</v>
      </c>
      <c r="M141" s="2">
        <f t="shared" si="18"/>
        <v>-1.1654411764705872</v>
      </c>
    </row>
    <row r="142" spans="1:13" x14ac:dyDescent="0.2">
      <c r="A142" s="1" t="s">
        <v>141</v>
      </c>
      <c r="B142" s="1" t="str">
        <f t="shared" si="13"/>
        <v>2015</v>
      </c>
      <c r="C142" s="1" t="str">
        <f t="shared" si="14"/>
        <v>1</v>
      </c>
      <c r="D142">
        <v>11198364.675095901</v>
      </c>
      <c r="E142">
        <v>2085815.4029876799</v>
      </c>
      <c r="F142">
        <v>3613282.0594447199</v>
      </c>
      <c r="G142" s="2">
        <v>17062064.916970801</v>
      </c>
      <c r="H142" s="2">
        <f t="shared" si="15"/>
        <v>2.7215168710227784E-2</v>
      </c>
      <c r="I142" s="2">
        <f t="shared" si="16"/>
        <v>3.7600510801496644E-2</v>
      </c>
      <c r="J142" s="2">
        <f t="shared" si="17"/>
        <v>3.9546663315923054E-2</v>
      </c>
      <c r="K142" s="2">
        <f t="shared" si="17"/>
        <v>3.2561436720678613E-2</v>
      </c>
      <c r="L142">
        <v>-0.8533333333333335</v>
      </c>
      <c r="M142" s="2">
        <f t="shared" si="18"/>
        <v>0.46105263157894749</v>
      </c>
    </row>
    <row r="143" spans="1:13" x14ac:dyDescent="0.2">
      <c r="A143" s="1" t="s">
        <v>142</v>
      </c>
      <c r="B143" s="1" t="str">
        <f t="shared" si="13"/>
        <v>2015</v>
      </c>
      <c r="C143" s="1" t="str">
        <f t="shared" si="14"/>
        <v>2</v>
      </c>
      <c r="D143">
        <v>11281091.402498901</v>
      </c>
      <c r="E143">
        <v>2070606.33202946</v>
      </c>
      <c r="F143">
        <v>3739599.18561893</v>
      </c>
      <c r="G143" s="2">
        <v>17260060.303881101</v>
      </c>
      <c r="H143" s="2">
        <f t="shared" si="15"/>
        <v>1.668772540182609E-2</v>
      </c>
      <c r="I143" s="2">
        <f t="shared" si="16"/>
        <v>2.8365610544176224E-2</v>
      </c>
      <c r="J143" s="2">
        <f t="shared" si="17"/>
        <v>5.2278979841145559E-2</v>
      </c>
      <c r="K143" s="2">
        <f t="shared" si="17"/>
        <v>3.1961031789526424E-2</v>
      </c>
      <c r="L143">
        <v>-0.70333333333333226</v>
      </c>
      <c r="M143" s="2">
        <f t="shared" si="18"/>
        <v>0.32154340836012935</v>
      </c>
    </row>
    <row r="144" spans="1:13" x14ac:dyDescent="0.2">
      <c r="A144" s="1" t="s">
        <v>143</v>
      </c>
      <c r="B144" s="1" t="str">
        <f t="shared" si="13"/>
        <v>2015</v>
      </c>
      <c r="C144" s="1" t="str">
        <f t="shared" si="14"/>
        <v>3</v>
      </c>
      <c r="D144">
        <v>11385787.556962101</v>
      </c>
      <c r="E144">
        <v>2070319.1457028301</v>
      </c>
      <c r="F144">
        <v>3856003.8700225698</v>
      </c>
      <c r="G144" s="2">
        <v>17466109.703815699</v>
      </c>
      <c r="H144" s="2">
        <f t="shared" si="15"/>
        <v>2.7452297642578772E-2</v>
      </c>
      <c r="I144" s="2">
        <f t="shared" si="16"/>
        <v>2.7109103342479288E-3</v>
      </c>
      <c r="J144" s="2">
        <f t="shared" si="17"/>
        <v>9.0597426421324831E-2</v>
      </c>
      <c r="K144" s="2">
        <f t="shared" si="17"/>
        <v>4.0673966329287374E-2</v>
      </c>
      <c r="L144">
        <v>-0.4700000000000002</v>
      </c>
      <c r="M144" s="2">
        <f t="shared" si="18"/>
        <v>0.7441016333938294</v>
      </c>
    </row>
    <row r="145" spans="1:13" x14ac:dyDescent="0.2">
      <c r="A145" s="1" t="s">
        <v>144</v>
      </c>
      <c r="B145" s="1" t="str">
        <f t="shared" si="13"/>
        <v>2015</v>
      </c>
      <c r="C145" s="1" t="str">
        <f t="shared" si="14"/>
        <v>4</v>
      </c>
      <c r="D145">
        <v>11547826.6498638</v>
      </c>
      <c r="E145">
        <v>2076687.6949467601</v>
      </c>
      <c r="F145">
        <v>3717090.3569140402</v>
      </c>
      <c r="G145" s="2">
        <v>17430004.925392698</v>
      </c>
      <c r="H145" s="2">
        <f t="shared" si="15"/>
        <v>3.5703695581554777E-2</v>
      </c>
      <c r="I145" s="2">
        <f t="shared" si="16"/>
        <v>8.6007274017272633E-3</v>
      </c>
      <c r="J145" s="2">
        <f t="shared" si="17"/>
        <v>1.3921313766982971E-2</v>
      </c>
      <c r="K145" s="2">
        <f t="shared" si="17"/>
        <v>2.7302365594235944E-2</v>
      </c>
      <c r="L145">
        <v>-0.13999999999999968</v>
      </c>
      <c r="M145" s="2">
        <f t="shared" si="18"/>
        <v>0.92869269949066224</v>
      </c>
    </row>
    <row r="146" spans="1:13" x14ac:dyDescent="0.2">
      <c r="A146" s="1" t="s">
        <v>145</v>
      </c>
      <c r="B146" s="1" t="str">
        <f t="shared" si="13"/>
        <v>2016</v>
      </c>
      <c r="C146" s="1" t="str">
        <f t="shared" si="14"/>
        <v>1</v>
      </c>
      <c r="D146">
        <v>11624143.9757649</v>
      </c>
      <c r="E146">
        <v>2093127.22483027</v>
      </c>
      <c r="F146">
        <v>3774459.3708901801</v>
      </c>
      <c r="G146" s="2">
        <v>17529729.900009502</v>
      </c>
      <c r="H146" s="2">
        <f t="shared" si="15"/>
        <v>3.8021560560167526E-2</v>
      </c>
      <c r="I146" s="2">
        <f t="shared" si="16"/>
        <v>3.5054980570748532E-3</v>
      </c>
      <c r="J146" s="2">
        <f t="shared" si="17"/>
        <v>4.4606899985612944E-2</v>
      </c>
      <c r="K146" s="2">
        <f t="shared" si="17"/>
        <v>2.7409635663356177E-2</v>
      </c>
      <c r="L146">
        <v>-0.41666666666666652</v>
      </c>
      <c r="M146" s="2">
        <f t="shared" si="18"/>
        <v>0.51171875000000022</v>
      </c>
    </row>
    <row r="147" spans="1:13" x14ac:dyDescent="0.2">
      <c r="A147" s="1" t="s">
        <v>146</v>
      </c>
      <c r="B147" s="1" t="str">
        <f t="shared" si="13"/>
        <v>2016</v>
      </c>
      <c r="C147" s="1" t="str">
        <f t="shared" si="14"/>
        <v>2</v>
      </c>
      <c r="D147">
        <v>11613478.100428199</v>
      </c>
      <c r="E147">
        <v>2119105.8884443198</v>
      </c>
      <c r="F147">
        <v>3728325.8361868798</v>
      </c>
      <c r="G147" s="2">
        <v>17600590.021931101</v>
      </c>
      <c r="H147" s="2">
        <f t="shared" si="15"/>
        <v>2.9464055034220425E-2</v>
      </c>
      <c r="I147" s="2">
        <f t="shared" si="16"/>
        <v>2.3422876509473455E-2</v>
      </c>
      <c r="J147" s="2">
        <f t="shared" si="17"/>
        <v>-3.0145876262363215E-3</v>
      </c>
      <c r="K147" s="2">
        <f t="shared" si="17"/>
        <v>1.9729346946338752E-2</v>
      </c>
      <c r="L147">
        <v>-3.6666666666666625E-2</v>
      </c>
      <c r="M147" s="2">
        <f t="shared" si="18"/>
        <v>0.94786729857819907</v>
      </c>
    </row>
    <row r="148" spans="1:13" x14ac:dyDescent="0.2">
      <c r="A148" s="1" t="s">
        <v>147</v>
      </c>
      <c r="B148" s="1" t="str">
        <f t="shared" si="13"/>
        <v>2016</v>
      </c>
      <c r="C148" s="1" t="str">
        <f t="shared" si="14"/>
        <v>3</v>
      </c>
      <c r="D148">
        <v>11798812.680741901</v>
      </c>
      <c r="E148">
        <v>2152201.2021423699</v>
      </c>
      <c r="F148">
        <v>3747240.9035542798</v>
      </c>
      <c r="G148" s="2">
        <v>17770150.743998799</v>
      </c>
      <c r="H148" s="2">
        <f t="shared" si="15"/>
        <v>3.6275498880817089E-2</v>
      </c>
      <c r="I148" s="2">
        <f t="shared" si="16"/>
        <v>3.9550451247816018E-2</v>
      </c>
      <c r="J148" s="2">
        <f t="shared" si="17"/>
        <v>-2.8206135194478774E-2</v>
      </c>
      <c r="K148" s="2">
        <f t="shared" si="17"/>
        <v>1.7407484857184834E-2</v>
      </c>
      <c r="L148">
        <v>-3.6666666666666625E-2</v>
      </c>
      <c r="M148" s="2">
        <f t="shared" si="18"/>
        <v>0.92198581560283699</v>
      </c>
    </row>
    <row r="149" spans="1:13" x14ac:dyDescent="0.2">
      <c r="A149" s="1" t="s">
        <v>148</v>
      </c>
      <c r="B149" s="1" t="str">
        <f t="shared" si="13"/>
        <v>2016</v>
      </c>
      <c r="C149" s="1" t="str">
        <f t="shared" si="14"/>
        <v>4</v>
      </c>
      <c r="D149">
        <v>11948821.4375795</v>
      </c>
      <c r="E149">
        <v>2155136.5903178202</v>
      </c>
      <c r="F149">
        <v>3803806.4248568201</v>
      </c>
      <c r="G149" s="2">
        <v>17973458.0190726</v>
      </c>
      <c r="H149" s="2">
        <f t="shared" si="15"/>
        <v>3.4724697544747871E-2</v>
      </c>
      <c r="I149" s="2">
        <f t="shared" si="16"/>
        <v>3.7775971592623754E-2</v>
      </c>
      <c r="J149" s="2">
        <f t="shared" si="17"/>
        <v>2.3329018026554616E-2</v>
      </c>
      <c r="K149" s="2">
        <f t="shared" si="17"/>
        <v>3.117917040219409E-2</v>
      </c>
      <c r="L149">
        <v>-0.12000000000000055</v>
      </c>
      <c r="M149" s="2">
        <f t="shared" si="18"/>
        <v>0.14285714285713697</v>
      </c>
    </row>
    <row r="150" spans="1:13" x14ac:dyDescent="0.2">
      <c r="A150" s="1" t="s">
        <v>149</v>
      </c>
      <c r="B150" s="1" t="str">
        <f t="shared" si="13"/>
        <v>2017</v>
      </c>
      <c r="C150" s="1" t="str">
        <f t="shared" si="14"/>
        <v>1</v>
      </c>
      <c r="D150">
        <v>12061564.517233901</v>
      </c>
      <c r="E150">
        <v>2131972.9622881501</v>
      </c>
      <c r="F150">
        <v>3714976.5428314898</v>
      </c>
      <c r="G150" s="2">
        <v>18061215.7863486</v>
      </c>
      <c r="H150" s="2">
        <f t="shared" si="15"/>
        <v>3.7630344426305751E-2</v>
      </c>
      <c r="I150" s="2">
        <f t="shared" si="16"/>
        <v>1.8558708231904069E-2</v>
      </c>
      <c r="J150" s="2">
        <f t="shared" si="17"/>
        <v>-1.575929748176404E-2</v>
      </c>
      <c r="K150" s="2">
        <f t="shared" si="17"/>
        <v>3.0319114405682322E-2</v>
      </c>
      <c r="L150">
        <v>-1.2266666666666666</v>
      </c>
      <c r="M150" s="2">
        <f t="shared" si="18"/>
        <v>-1.9440000000000008</v>
      </c>
    </row>
    <row r="151" spans="1:13" x14ac:dyDescent="0.2">
      <c r="A151" s="1" t="s">
        <v>150</v>
      </c>
      <c r="B151" s="1" t="str">
        <f t="shared" si="13"/>
        <v>2017</v>
      </c>
      <c r="C151" s="1" t="str">
        <f t="shared" si="14"/>
        <v>2</v>
      </c>
      <c r="D151">
        <v>12141704.6315678</v>
      </c>
      <c r="E151">
        <v>2128247.80053369</v>
      </c>
      <c r="F151">
        <v>3703813.6785284202</v>
      </c>
      <c r="G151" s="2">
        <v>18123607.6518929</v>
      </c>
      <c r="H151" s="2">
        <f t="shared" si="15"/>
        <v>4.548392192000817E-2</v>
      </c>
      <c r="I151" s="2">
        <f t="shared" si="16"/>
        <v>4.3140421341009349E-3</v>
      </c>
      <c r="J151" s="2">
        <f t="shared" si="17"/>
        <v>-6.5745749527968463E-3</v>
      </c>
      <c r="K151" s="2">
        <f t="shared" si="17"/>
        <v>2.9715914597754797E-2</v>
      </c>
      <c r="L151">
        <v>-1.9100000000000001</v>
      </c>
      <c r="M151" s="2">
        <f t="shared" si="18"/>
        <v>-51.09090909090915</v>
      </c>
    </row>
    <row r="152" spans="1:13" x14ac:dyDescent="0.2">
      <c r="A152" s="1" t="s">
        <v>151</v>
      </c>
      <c r="B152" s="1" t="str">
        <f t="shared" si="13"/>
        <v>2017</v>
      </c>
      <c r="C152" s="1" t="str">
        <f t="shared" si="14"/>
        <v>3</v>
      </c>
      <c r="D152">
        <v>12153922.9827027</v>
      </c>
      <c r="E152">
        <v>2140753.9202066502</v>
      </c>
      <c r="F152">
        <v>3730174.64102061</v>
      </c>
      <c r="G152" s="2">
        <v>18047028.371772099</v>
      </c>
      <c r="H152" s="2">
        <f t="shared" si="15"/>
        <v>3.0097121767210799E-2</v>
      </c>
      <c r="I152" s="2">
        <f t="shared" si="16"/>
        <v>-5.3188716391036218E-3</v>
      </c>
      <c r="J152" s="2">
        <f t="shared" si="17"/>
        <v>-4.554354249678043E-3</v>
      </c>
      <c r="K152" s="2">
        <f t="shared" si="17"/>
        <v>1.5581051154943343E-2</v>
      </c>
      <c r="L152">
        <v>-2.0433333333333339</v>
      </c>
      <c r="M152" s="2">
        <f t="shared" si="18"/>
        <v>-54.727272727272805</v>
      </c>
    </row>
    <row r="153" spans="1:13" x14ac:dyDescent="0.2">
      <c r="A153" s="1" t="s">
        <v>152</v>
      </c>
      <c r="B153" s="1" t="str">
        <f t="shared" si="13"/>
        <v>2017</v>
      </c>
      <c r="C153" s="1" t="str">
        <f t="shared" si="14"/>
        <v>4</v>
      </c>
      <c r="D153">
        <v>12222323.2780474</v>
      </c>
      <c r="E153">
        <v>2175148.4099488398</v>
      </c>
      <c r="F153">
        <v>3734679.4081823202</v>
      </c>
      <c r="G153" s="2">
        <v>18299011.165620599</v>
      </c>
      <c r="H153" s="2">
        <f t="shared" si="15"/>
        <v>2.2889440761724524E-2</v>
      </c>
      <c r="I153" s="2">
        <f t="shared" si="16"/>
        <v>9.2856386555380428E-3</v>
      </c>
      <c r="J153" s="2">
        <f t="shared" si="17"/>
        <v>-1.8173116334935992E-2</v>
      </c>
      <c r="K153" s="2">
        <f t="shared" si="17"/>
        <v>1.8112994516833507E-2</v>
      </c>
      <c r="L153">
        <v>-1.9766666666666666</v>
      </c>
      <c r="M153" s="2">
        <f t="shared" si="18"/>
        <v>-15.472222222222145</v>
      </c>
    </row>
    <row r="154" spans="1:13" x14ac:dyDescent="0.2">
      <c r="A154" s="1" t="s">
        <v>153</v>
      </c>
      <c r="B154" s="1" t="str">
        <f t="shared" si="13"/>
        <v>2018</v>
      </c>
      <c r="C154" s="1" t="str">
        <f t="shared" si="14"/>
        <v>1</v>
      </c>
      <c r="D154">
        <v>12463240.134933</v>
      </c>
      <c r="E154">
        <v>2206561.23487136</v>
      </c>
      <c r="F154">
        <v>3822073.2463494502</v>
      </c>
      <c r="G154" s="2">
        <v>18511530.7284448</v>
      </c>
      <c r="H154" s="2">
        <f t="shared" si="15"/>
        <v>3.3302115751665078E-2</v>
      </c>
      <c r="I154" s="2">
        <f t="shared" si="16"/>
        <v>3.4985562154201851E-2</v>
      </c>
      <c r="J154" s="2">
        <f t="shared" si="17"/>
        <v>2.8828366016096878E-2</v>
      </c>
      <c r="K154" s="2">
        <f t="shared" si="17"/>
        <v>2.4932703723996596E-2</v>
      </c>
      <c r="L154">
        <v>-0.45666666666666611</v>
      </c>
      <c r="M154" s="2">
        <f t="shared" si="18"/>
        <v>0.62771739130434823</v>
      </c>
    </row>
    <row r="155" spans="1:13" x14ac:dyDescent="0.2">
      <c r="A155" s="1" t="s">
        <v>154</v>
      </c>
      <c r="B155" s="1" t="str">
        <f t="shared" si="13"/>
        <v>2018</v>
      </c>
      <c r="C155" s="1" t="str">
        <f t="shared" si="14"/>
        <v>2</v>
      </c>
      <c r="D155">
        <v>12450881.0259712</v>
      </c>
      <c r="E155">
        <v>2226856.3052057102</v>
      </c>
      <c r="F155">
        <v>3804532.21433347</v>
      </c>
      <c r="G155" s="2">
        <v>18518193.4557871</v>
      </c>
      <c r="H155" s="2">
        <f t="shared" si="15"/>
        <v>2.5464002278523343E-2</v>
      </c>
      <c r="I155" s="2">
        <f t="shared" si="16"/>
        <v>4.633318763317535E-2</v>
      </c>
      <c r="J155" s="2">
        <f t="shared" si="17"/>
        <v>2.719319721424723E-2</v>
      </c>
      <c r="K155" s="2">
        <f t="shared" si="17"/>
        <v>2.1771923751228821E-2</v>
      </c>
      <c r="L155">
        <v>0.49666666666666703</v>
      </c>
      <c r="M155" s="2">
        <f t="shared" si="18"/>
        <v>1.2600349040139618</v>
      </c>
    </row>
    <row r="156" spans="1:13" x14ac:dyDescent="0.2">
      <c r="A156" s="1" t="s">
        <v>155</v>
      </c>
      <c r="B156" s="1" t="str">
        <f t="shared" si="13"/>
        <v>2018</v>
      </c>
      <c r="C156" s="1" t="str">
        <f t="shared" si="14"/>
        <v>3</v>
      </c>
      <c r="D156">
        <v>12474857.7937745</v>
      </c>
      <c r="E156">
        <v>2201955.5432108701</v>
      </c>
      <c r="F156">
        <v>3758164.2442803099</v>
      </c>
      <c r="G156" s="2">
        <v>18547858.752121601</v>
      </c>
      <c r="H156" s="2">
        <f t="shared" si="15"/>
        <v>2.6405861838070734E-2</v>
      </c>
      <c r="I156" s="2">
        <f t="shared" si="16"/>
        <v>2.8588817437882854E-2</v>
      </c>
      <c r="J156" s="2">
        <f t="shared" si="17"/>
        <v>7.5035637613046647E-3</v>
      </c>
      <c r="K156" s="2">
        <f t="shared" si="17"/>
        <v>2.7751404277330548E-2</v>
      </c>
      <c r="L156">
        <v>0.43333333333333357</v>
      </c>
      <c r="M156" s="2">
        <f t="shared" si="18"/>
        <v>1.2120717781402937</v>
      </c>
    </row>
    <row r="157" spans="1:13" x14ac:dyDescent="0.2">
      <c r="A157" s="1" t="s">
        <v>156</v>
      </c>
      <c r="B157" s="1" t="str">
        <f t="shared" si="13"/>
        <v>2018</v>
      </c>
      <c r="C157" s="1" t="str">
        <f t="shared" si="14"/>
        <v>4</v>
      </c>
      <c r="D157">
        <v>12420543.5306716</v>
      </c>
      <c r="E157">
        <v>2185069.5974976099</v>
      </c>
      <c r="F157">
        <v>3632915.5067795501</v>
      </c>
      <c r="G157" s="2">
        <v>18531202.512231499</v>
      </c>
      <c r="H157" s="2">
        <f>(D157-D153)/ABS(D153)</f>
        <v>1.6217886576460096E-2</v>
      </c>
      <c r="I157" s="2">
        <f t="shared" si="16"/>
        <v>4.5611543117664568E-3</v>
      </c>
      <c r="J157" s="2">
        <f>(F157-F153)/ABS(F153)</f>
        <v>-2.7248363321310858E-2</v>
      </c>
      <c r="K157" s="2">
        <f>(G157-G153)/ABS(G153)</f>
        <v>1.2688737359050919E-2</v>
      </c>
      <c r="L157">
        <v>0.6466666666666665</v>
      </c>
      <c r="M157" s="2">
        <f>(L157-L153)/ABS(L153)</f>
        <v>1.3271500843170321</v>
      </c>
    </row>
    <row r="158" spans="1:13" x14ac:dyDescent="0.2">
      <c r="A158" s="2" t="s">
        <v>169</v>
      </c>
      <c r="B158" s="2" t="str">
        <f t="shared" si="13"/>
        <v>2019</v>
      </c>
      <c r="C158" s="2" t="str">
        <f t="shared" si="14"/>
        <v>1</v>
      </c>
      <c r="D158" s="2">
        <v>12498565.5328339</v>
      </c>
      <c r="E158" s="2">
        <v>2181294.8528319602</v>
      </c>
      <c r="F158" s="2">
        <v>3739250.75686885</v>
      </c>
      <c r="G158" s="2">
        <v>18579602.7452817</v>
      </c>
      <c r="H158" s="2">
        <f t="shared" ref="H158:H163" si="19">(D158-D154)/ABS(D154)</f>
        <v>2.8343671082680117E-3</v>
      </c>
      <c r="I158" s="2">
        <f t="shared" ref="I158:I163" si="20">(E158-E154)/ABS(E154)</f>
        <v>-1.145056916622249E-2</v>
      </c>
      <c r="J158" s="2">
        <f t="shared" ref="J158:K158" si="21">(F158-F154)/ABS(F154)</f>
        <v>-2.1669519169918026E-2</v>
      </c>
      <c r="K158" s="2">
        <f t="shared" si="21"/>
        <v>3.677276495146934E-3</v>
      </c>
      <c r="L158">
        <v>1.5533333333333328</v>
      </c>
      <c r="M158" s="2">
        <f t="shared" ref="M158:M164" si="22">(L158-L154)/ABS(L154)</f>
        <v>4.4014598540146013</v>
      </c>
    </row>
    <row r="159" spans="1:13" x14ac:dyDescent="0.2">
      <c r="A159" s="2" t="s">
        <v>170</v>
      </c>
      <c r="B159" s="2" t="str">
        <f t="shared" si="13"/>
        <v>2019</v>
      </c>
      <c r="C159" s="2" t="str">
        <f t="shared" si="14"/>
        <v>2</v>
      </c>
      <c r="D159" s="2">
        <v>12550326.1369082</v>
      </c>
      <c r="E159" s="2">
        <v>2175334.6569563099</v>
      </c>
      <c r="F159" s="2">
        <v>3599029.14060156</v>
      </c>
      <c r="G159" s="2">
        <v>18561892.819200501</v>
      </c>
      <c r="H159" s="2">
        <f t="shared" si="19"/>
        <v>7.9869939106772848E-3</v>
      </c>
      <c r="I159" s="2">
        <f t="shared" si="20"/>
        <v>-2.313649431665547E-2</v>
      </c>
      <c r="J159" s="2">
        <f t="shared" ref="J159:K159" si="23">(F159-F155)/ABS(F155)</f>
        <v>-5.4015332806930327E-2</v>
      </c>
      <c r="K159" s="2">
        <f t="shared" si="23"/>
        <v>2.3598070469311632E-3</v>
      </c>
      <c r="L159">
        <v>1.5699999999999985</v>
      </c>
      <c r="M159" s="2">
        <f t="shared" si="22"/>
        <v>2.1610738255033501</v>
      </c>
    </row>
    <row r="160" spans="1:13" x14ac:dyDescent="0.2">
      <c r="A160" s="2" t="s">
        <v>171</v>
      </c>
      <c r="B160" s="2" t="str">
        <f t="shared" si="13"/>
        <v>2019</v>
      </c>
      <c r="C160" s="2" t="str">
        <f t="shared" si="14"/>
        <v>3</v>
      </c>
      <c r="D160" s="2">
        <v>12561763.8128429</v>
      </c>
      <c r="E160" s="2">
        <v>2169215.1463631201</v>
      </c>
      <c r="F160" s="2">
        <v>3518764.7993049701</v>
      </c>
      <c r="G160" s="2">
        <v>18525001.1858465</v>
      </c>
      <c r="H160" s="2">
        <f t="shared" si="19"/>
        <v>6.9664937673092637E-3</v>
      </c>
      <c r="I160" s="2">
        <f t="shared" si="20"/>
        <v>-1.4868781955519562E-2</v>
      </c>
      <c r="J160" s="2">
        <f t="shared" ref="J160:K160" si="24">(F160-F156)/ABS(F156)</f>
        <v>-6.3701166158368613E-2</v>
      </c>
      <c r="K160" s="2">
        <f t="shared" si="24"/>
        <v>-1.2323560676504822E-3</v>
      </c>
      <c r="L160">
        <v>3.186666666666667</v>
      </c>
      <c r="M160" s="2">
        <f t="shared" si="22"/>
        <v>6.3538461538461508</v>
      </c>
    </row>
    <row r="161" spans="1:13" x14ac:dyDescent="0.2">
      <c r="A161" s="2" t="s">
        <v>172</v>
      </c>
      <c r="B161" s="2" t="str">
        <f t="shared" si="13"/>
        <v>2019</v>
      </c>
      <c r="C161" s="2" t="str">
        <f t="shared" si="14"/>
        <v>4</v>
      </c>
      <c r="D161" s="2">
        <v>12500829.697531199</v>
      </c>
      <c r="E161" s="2">
        <v>2178620.2231665999</v>
      </c>
      <c r="F161" s="2">
        <v>3468210.0932711302</v>
      </c>
      <c r="G161" s="2">
        <v>18406850.075731602</v>
      </c>
      <c r="H161" s="2">
        <f t="shared" si="19"/>
        <v>6.4639817622584844E-3</v>
      </c>
      <c r="I161" s="2">
        <f t="shared" si="20"/>
        <v>-2.9515647183027973E-3</v>
      </c>
      <c r="J161" s="2">
        <f t="shared" ref="J161:K161" si="25">(F161-F157)/ABS(F157)</f>
        <v>-4.5336978853776133E-2</v>
      </c>
      <c r="K161" s="2">
        <f t="shared" si="25"/>
        <v>-6.7104353545226602E-3</v>
      </c>
      <c r="L161">
        <v>3.1633333333333327</v>
      </c>
      <c r="M161" s="2">
        <f t="shared" si="22"/>
        <v>3.891752577319588</v>
      </c>
    </row>
    <row r="162" spans="1:13" x14ac:dyDescent="0.2">
      <c r="A162" s="2" t="s">
        <v>173</v>
      </c>
      <c r="B162" s="2" t="str">
        <f t="shared" si="13"/>
        <v>2020</v>
      </c>
      <c r="C162" s="2" t="str">
        <f t="shared" si="14"/>
        <v>1</v>
      </c>
      <c r="D162" s="2">
        <v>12322308.267329801</v>
      </c>
      <c r="E162" s="2">
        <v>2245860.2067533298</v>
      </c>
      <c r="F162" s="2">
        <v>3396438.3699972499</v>
      </c>
      <c r="G162" s="2">
        <v>18179062.839198001</v>
      </c>
      <c r="H162" s="2">
        <f t="shared" si="19"/>
        <v>-1.4102199571708387E-2</v>
      </c>
      <c r="I162" s="2">
        <f t="shared" si="20"/>
        <v>2.959955360346855E-2</v>
      </c>
      <c r="J162" s="2">
        <f t="shared" ref="J162:K162" si="26">(F162-F158)/ABS(F158)</f>
        <v>-9.1679432368066735E-2</v>
      </c>
      <c r="K162" s="2">
        <f t="shared" si="26"/>
        <v>-2.1558044678076694E-2</v>
      </c>
      <c r="L162">
        <v>2.276666666666666</v>
      </c>
      <c r="M162" s="2">
        <f t="shared" si="22"/>
        <v>0.46566523605150217</v>
      </c>
    </row>
    <row r="163" spans="1:13" x14ac:dyDescent="0.2">
      <c r="A163" s="2" t="s">
        <v>174</v>
      </c>
      <c r="B163" s="2" t="str">
        <f t="shared" si="13"/>
        <v>2020</v>
      </c>
      <c r="C163" s="2" t="str">
        <f t="shared" si="14"/>
        <v>2</v>
      </c>
      <c r="D163" s="2">
        <v>9909705.3244374506</v>
      </c>
      <c r="E163" s="2">
        <v>2217601.6692856802</v>
      </c>
      <c r="F163" s="2">
        <v>2385857.25240089</v>
      </c>
      <c r="G163" s="2">
        <v>15097536.2707412</v>
      </c>
      <c r="H163" s="2">
        <f t="shared" si="19"/>
        <v>-0.2104025651337593</v>
      </c>
      <c r="I163" s="2">
        <f t="shared" si="20"/>
        <v>1.9430119496422454E-2</v>
      </c>
      <c r="J163" s="2">
        <f t="shared" ref="J163:K163" si="27">(F163-F159)/ABS(F159)</f>
        <v>-0.33708309680368254</v>
      </c>
      <c r="K163" s="2">
        <f t="shared" si="27"/>
        <v>-0.18663810755742299</v>
      </c>
      <c r="L163">
        <v>2.1499999999999995</v>
      </c>
      <c r="M163" s="2">
        <f t="shared" si="22"/>
        <v>0.36942675159235766</v>
      </c>
    </row>
    <row r="164" spans="1:13" x14ac:dyDescent="0.2">
      <c r="A164" s="2" t="s">
        <v>175</v>
      </c>
      <c r="B164" s="2" t="str">
        <f t="shared" si="13"/>
        <v>2020</v>
      </c>
      <c r="C164" s="2" t="str">
        <f t="shared" si="14"/>
        <v>3</v>
      </c>
      <c r="D164" s="2">
        <v>10965265.6197387</v>
      </c>
      <c r="E164" s="2">
        <v>2225685.9640474198</v>
      </c>
      <c r="F164" s="2">
        <v>2886231.6214866498</v>
      </c>
      <c r="G164" s="2">
        <v>16927083.3469272</v>
      </c>
      <c r="H164" s="2">
        <f>(D164-D160)/ABS(D160)</f>
        <v>-0.12709188111560987</v>
      </c>
      <c r="I164" s="2">
        <f>(E164-E160)/ABS(E160)</f>
        <v>2.6032833939491004E-2</v>
      </c>
      <c r="J164" s="2">
        <f>(F164-F160)/ABS(F160)</f>
        <v>-0.17976000497198868</v>
      </c>
      <c r="K164" s="2">
        <f>(G164-G160)/ABS(G160)</f>
        <v>-8.6257367699395571E-2</v>
      </c>
      <c r="L164">
        <v>3.0000000000000249E-2</v>
      </c>
      <c r="M164" s="2">
        <f t="shared" si="22"/>
        <v>-0.99058577405857728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encadenada</vt:lpstr>
    </vt:vector>
  </TitlesOfParts>
  <Company>Instituto Nacional de Información Estadística y Geográfica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Consulta generada del Banco de Información Económica</dc:title>
  <dc:subject>Banco de Información Económica</dc:subject>
  <dc:creator>INEGI</dc:creator>
  <dc:description>Este archivo fue generado en la fecha(del servidor de aplicaciones): 2/5/2021 4:05:10 PM</dc:description>
  <cp:lastModifiedBy>LAPTOP</cp:lastModifiedBy>
  <dcterms:created xsi:type="dcterms:W3CDTF">2021-02-05T22:36:08Z</dcterms:created>
  <dcterms:modified xsi:type="dcterms:W3CDTF">2021-03-02T21:49:42Z</dcterms:modified>
</cp:coreProperties>
</file>