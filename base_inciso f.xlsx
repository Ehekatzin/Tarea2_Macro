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OneDrive\Escritorio\Segundo Semestre\Macro 2\Tarea 2\"/>
    </mc:Choice>
  </mc:AlternateContent>
  <xr:revisionPtr revIDLastSave="0" documentId="13_ncr:1_{A2970DBD-FF73-443E-B151-03BC8ED73B95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Base encadenada" sheetId="7" r:id="rId1"/>
  </sheets>
  <calcPr calcId="191029"/>
</workbook>
</file>

<file path=xl/calcChain.xml><?xml version="1.0" encoding="utf-8"?>
<calcChain xmlns="http://schemas.openxmlformats.org/spreadsheetml/2006/main">
  <c r="O62" i="7" l="1"/>
  <c r="O63" i="7"/>
  <c r="O64" i="7"/>
  <c r="O65" i="7"/>
  <c r="O66" i="7"/>
  <c r="O67" i="7"/>
  <c r="O68" i="7"/>
  <c r="M68" i="7"/>
  <c r="M62" i="7"/>
  <c r="M63" i="7"/>
  <c r="M64" i="7"/>
  <c r="M65" i="7"/>
  <c r="M66" i="7"/>
  <c r="M67" i="7"/>
  <c r="K68" i="7"/>
  <c r="K62" i="7"/>
  <c r="K63" i="7"/>
  <c r="K64" i="7"/>
  <c r="K65" i="7"/>
  <c r="K66" i="7"/>
  <c r="K67" i="7"/>
  <c r="K61" i="7"/>
  <c r="I68" i="7"/>
  <c r="H68" i="7"/>
  <c r="G68" i="7"/>
  <c r="G62" i="7"/>
  <c r="H62" i="7"/>
  <c r="I62" i="7"/>
  <c r="G63" i="7"/>
  <c r="H63" i="7"/>
  <c r="I63" i="7"/>
  <c r="G64" i="7"/>
  <c r="H64" i="7"/>
  <c r="I64" i="7"/>
  <c r="G65" i="7"/>
  <c r="H65" i="7"/>
  <c r="I65" i="7"/>
  <c r="G66" i="7"/>
  <c r="H66" i="7"/>
  <c r="I66" i="7"/>
  <c r="G67" i="7"/>
  <c r="H67" i="7"/>
  <c r="I67" i="7"/>
  <c r="G61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K8" i="7"/>
  <c r="K7" i="7"/>
  <c r="K6" i="7"/>
  <c r="O61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" i="7"/>
  <c r="M61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I61" i="7"/>
  <c r="H61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I6" i="7"/>
  <c r="H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</calcChain>
</file>

<file path=xl/sharedStrings.xml><?xml version="1.0" encoding="utf-8"?>
<sst xmlns="http://schemas.openxmlformats.org/spreadsheetml/2006/main" count="82" uniqueCount="82">
  <si>
    <t>Periodo</t>
  </si>
  <si>
    <t>2004/01</t>
  </si>
  <si>
    <t>2004/02</t>
  </si>
  <si>
    <t>2004/03</t>
  </si>
  <si>
    <t>2004/04</t>
  </si>
  <si>
    <t>2005/01</t>
  </si>
  <si>
    <t>2005/02</t>
  </si>
  <si>
    <t>2005/03</t>
  </si>
  <si>
    <t>2005/04</t>
  </si>
  <si>
    <t>2006/01</t>
  </si>
  <si>
    <t>2006/02</t>
  </si>
  <si>
    <t>2006/03</t>
  </si>
  <si>
    <t>2006/04</t>
  </si>
  <si>
    <t>2007/01</t>
  </si>
  <si>
    <t>2007/02</t>
  </si>
  <si>
    <t>2007/03</t>
  </si>
  <si>
    <t>2007/04</t>
  </si>
  <si>
    <t>2008/01</t>
  </si>
  <si>
    <t>2008/02</t>
  </si>
  <si>
    <t>2008/03</t>
  </si>
  <si>
    <t>2008/04</t>
  </si>
  <si>
    <t>2009/01</t>
  </si>
  <si>
    <t>2009/02</t>
  </si>
  <si>
    <t>2009/03</t>
  </si>
  <si>
    <t>2009/04</t>
  </si>
  <si>
    <t>2010/01</t>
  </si>
  <si>
    <t>2010/02</t>
  </si>
  <si>
    <t>2010/03</t>
  </si>
  <si>
    <t>2010/04</t>
  </si>
  <si>
    <t>2011/01</t>
  </si>
  <si>
    <t>2011/02</t>
  </si>
  <si>
    <t>2011/03</t>
  </si>
  <si>
    <t>2011/04</t>
  </si>
  <si>
    <t>2012/01</t>
  </si>
  <si>
    <t>2012/02</t>
  </si>
  <si>
    <t>2012/03</t>
  </si>
  <si>
    <t>2012/04</t>
  </si>
  <si>
    <t>2013/01</t>
  </si>
  <si>
    <t>2013/02</t>
  </si>
  <si>
    <t>2013/03</t>
  </si>
  <si>
    <t>2013/04</t>
  </si>
  <si>
    <t>2014/01</t>
  </si>
  <si>
    <t>2014/02</t>
  </si>
  <si>
    <t>2014/03</t>
  </si>
  <si>
    <t>2014/04</t>
  </si>
  <si>
    <t>2015/01</t>
  </si>
  <si>
    <t>2015/02</t>
  </si>
  <si>
    <t>2015/03</t>
  </si>
  <si>
    <t>2015/04</t>
  </si>
  <si>
    <t>2016/01</t>
  </si>
  <si>
    <t>2016/02</t>
  </si>
  <si>
    <t>2016/03</t>
  </si>
  <si>
    <t>2016/04</t>
  </si>
  <si>
    <t>2017/01</t>
  </si>
  <si>
    <t>2017/02</t>
  </si>
  <si>
    <t>2017/03</t>
  </si>
  <si>
    <t>2017/04</t>
  </si>
  <si>
    <t>2018/01</t>
  </si>
  <si>
    <t>2018/02</t>
  </si>
  <si>
    <t>2018/03</t>
  </si>
  <si>
    <t>2018/04</t>
  </si>
  <si>
    <t>C</t>
  </si>
  <si>
    <t>I</t>
  </si>
  <si>
    <t>Y</t>
  </si>
  <si>
    <t>year</t>
  </si>
  <si>
    <t>q</t>
  </si>
  <si>
    <t>dC</t>
  </si>
  <si>
    <t>dI</t>
  </si>
  <si>
    <t>dY</t>
  </si>
  <si>
    <t>CE</t>
  </si>
  <si>
    <t>DCE</t>
  </si>
  <si>
    <t>r</t>
  </si>
  <si>
    <t>dr</t>
  </si>
  <si>
    <t>r2</t>
  </si>
  <si>
    <t>dr2</t>
  </si>
  <si>
    <t>2019/01</t>
  </si>
  <si>
    <t>2019/02</t>
  </si>
  <si>
    <t>2019/03</t>
  </si>
  <si>
    <t>2019/04</t>
  </si>
  <si>
    <t>2020/01</t>
  </si>
  <si>
    <t>2020/02</t>
  </si>
  <si>
    <t>2020/03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</si>
</sst>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164" fontId="0" fillId="0" borderId="0" xfId="0" applyNumberFormat="1" applyFill="1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8"/>
  <sheetViews>
    <sheetView tabSelected="1" topLeftCell="D1" zoomScale="125" zoomScaleNormal="100" workbookViewId="0">
      <pane ySplit="1" topLeftCell="A54" activePane="bottomLeft" state="frozen"/>
      <selection activeCell="E1" sqref="E1"/>
      <selection pane="bottomLeft" activeCell="N71" sqref="N71"/>
    </sheetView>
  </sheetViews>
  <sheetFormatPr baseColWidth="10" defaultRowHeight="12.75" x14ac:dyDescent="0.2"/>
  <cols>
    <col min="1" max="3" width="11.42578125" style="1"/>
    <col min="7" max="7" width="12.28515625" bestFit="1" customWidth="1"/>
  </cols>
  <sheetData>
    <row r="1" spans="1:15" x14ac:dyDescent="0.2">
      <c r="A1" s="1" t="s">
        <v>0</v>
      </c>
      <c r="B1" s="1" t="s">
        <v>64</v>
      </c>
      <c r="C1" s="1" t="s">
        <v>65</v>
      </c>
      <c r="D1" t="s">
        <v>61</v>
      </c>
      <c r="E1" t="s">
        <v>62</v>
      </c>
      <c r="F1" s="2" t="s">
        <v>63</v>
      </c>
      <c r="G1" t="s">
        <v>66</v>
      </c>
      <c r="H1" t="s">
        <v>67</v>
      </c>
      <c r="I1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  <c r="O1" s="3" t="s">
        <v>74</v>
      </c>
    </row>
    <row r="2" spans="1:15" x14ac:dyDescent="0.2">
      <c r="A2" s="1" t="s">
        <v>1</v>
      </c>
      <c r="B2" s="1" t="str">
        <f t="shared" ref="B2:B34" si="0">LEFT(A2,4)</f>
        <v>2004</v>
      </c>
      <c r="C2" s="1" t="str">
        <f t="shared" ref="C2:C34" si="1">RIGHT(A2,1)</f>
        <v>1</v>
      </c>
      <c r="D2">
        <v>9149908.0960938707</v>
      </c>
      <c r="E2">
        <v>2562133.0050106798</v>
      </c>
      <c r="F2" s="2">
        <v>13355347.851385999</v>
      </c>
      <c r="G2" s="2"/>
      <c r="H2" s="2"/>
      <c r="I2" s="2"/>
      <c r="J2" s="4">
        <v>50.726810673673334</v>
      </c>
      <c r="L2" s="6">
        <v>1.5599999999999996</v>
      </c>
      <c r="N2" s="2">
        <v>-0.4866666666666668</v>
      </c>
    </row>
    <row r="3" spans="1:15" x14ac:dyDescent="0.2">
      <c r="A3" s="1" t="s">
        <v>2</v>
      </c>
      <c r="B3" s="1" t="str">
        <f t="shared" si="0"/>
        <v>2004</v>
      </c>
      <c r="C3" s="1" t="str">
        <f t="shared" si="1"/>
        <v>2</v>
      </c>
      <c r="D3">
        <v>9304854.51031016</v>
      </c>
      <c r="E3">
        <v>2615286.72178593</v>
      </c>
      <c r="F3" s="2">
        <v>13570909.5563988</v>
      </c>
      <c r="G3" s="2"/>
      <c r="H3" s="2"/>
      <c r="I3" s="2"/>
      <c r="J3" s="4">
        <v>52.429701495997669</v>
      </c>
      <c r="K3" s="5"/>
      <c r="L3" s="6">
        <v>2.4233333333333338</v>
      </c>
      <c r="N3" s="2">
        <v>-1.3333333333333641E-2</v>
      </c>
    </row>
    <row r="4" spans="1:15" x14ac:dyDescent="0.2">
      <c r="A4" s="1" t="s">
        <v>3</v>
      </c>
      <c r="B4" s="1" t="str">
        <f t="shared" si="0"/>
        <v>2004</v>
      </c>
      <c r="C4" s="1" t="str">
        <f t="shared" si="1"/>
        <v>3</v>
      </c>
      <c r="D4">
        <v>9439442.1983000208</v>
      </c>
      <c r="E4">
        <v>2597113.6416265899</v>
      </c>
      <c r="F4" s="2">
        <v>13552040.8566071</v>
      </c>
      <c r="G4" s="2"/>
      <c r="H4" s="2"/>
      <c r="I4" s="2"/>
      <c r="J4" s="4">
        <v>53.007593138559997</v>
      </c>
      <c r="K4" s="5"/>
      <c r="L4" s="6">
        <v>2.6733333333333338</v>
      </c>
      <c r="M4" s="2"/>
      <c r="N4" s="2">
        <v>6.6666666666668206E-3</v>
      </c>
    </row>
    <row r="5" spans="1:15" x14ac:dyDescent="0.2">
      <c r="A5" s="1" t="s">
        <v>4</v>
      </c>
      <c r="B5" s="1" t="str">
        <f t="shared" si="0"/>
        <v>2004</v>
      </c>
      <c r="C5" s="1" t="str">
        <f t="shared" si="1"/>
        <v>4</v>
      </c>
      <c r="D5">
        <v>9552035.6566963494</v>
      </c>
      <c r="E5">
        <v>2669202.8397854101</v>
      </c>
      <c r="F5" s="2">
        <v>13718224.479824699</v>
      </c>
      <c r="G5" s="2"/>
      <c r="H5" s="2"/>
      <c r="I5" s="2"/>
      <c r="J5" s="4">
        <v>53.010413236802663</v>
      </c>
      <c r="K5" s="5"/>
      <c r="L5" s="6">
        <v>3.1866666666666656</v>
      </c>
      <c r="M5" s="2"/>
      <c r="N5" s="2">
        <v>0.23666666666666725</v>
      </c>
    </row>
    <row r="6" spans="1:15" x14ac:dyDescent="0.2">
      <c r="A6" s="1" t="s">
        <v>5</v>
      </c>
      <c r="B6" s="1" t="str">
        <f t="shared" si="0"/>
        <v>2005</v>
      </c>
      <c r="C6" s="1" t="str">
        <f t="shared" si="1"/>
        <v>1</v>
      </c>
      <c r="D6">
        <v>9570837.1148747597</v>
      </c>
      <c r="E6">
        <v>2723259.6161541902</v>
      </c>
      <c r="F6" s="2">
        <v>13739829.364852499</v>
      </c>
      <c r="G6" s="2">
        <f>(D6-D2)/ABS(D2)</f>
        <v>4.600363351852519E-2</v>
      </c>
      <c r="H6" s="2">
        <f>(E6-E2)/ABS(E2)</f>
        <v>6.2887684139894484E-2</v>
      </c>
      <c r="I6" s="2">
        <f>(F6-F2)/ABS(F2)</f>
        <v>2.878858100476947E-2</v>
      </c>
      <c r="J6" s="4">
        <v>53.560281620346331</v>
      </c>
      <c r="K6" s="5">
        <f>(J6-J2)/ABS(J2)</f>
        <v>5.5857462928248648E-2</v>
      </c>
      <c r="L6" s="6">
        <v>5.0066666666666668</v>
      </c>
      <c r="M6" s="2">
        <f>(L6-L2)/ABS(L2)</f>
        <v>2.2094017094017104</v>
      </c>
      <c r="N6" s="2">
        <v>1.706666666666667</v>
      </c>
      <c r="O6">
        <f>(N6-N2)/ABS(N2)</f>
        <v>4.506849315068493</v>
      </c>
    </row>
    <row r="7" spans="1:15" x14ac:dyDescent="0.2">
      <c r="A7" s="1" t="s">
        <v>6</v>
      </c>
      <c r="B7" s="1" t="str">
        <f t="shared" si="0"/>
        <v>2005</v>
      </c>
      <c r="C7" s="1" t="str">
        <f t="shared" si="1"/>
        <v>2</v>
      </c>
      <c r="D7">
        <v>9575324.9577212799</v>
      </c>
      <c r="E7">
        <v>2722927.10609922</v>
      </c>
      <c r="F7" s="2">
        <v>13780012.591603201</v>
      </c>
      <c r="G7" s="2">
        <f t="shared" ref="G7:G60" si="2">(D7-D3)/ABS(D3)</f>
        <v>2.9067670763839197E-2</v>
      </c>
      <c r="H7" s="2">
        <f t="shared" ref="H7:H60" si="3">(E7-E3)/ABS(E3)</f>
        <v>4.1158158077514509E-2</v>
      </c>
      <c r="I7" s="2">
        <f t="shared" ref="I7:I60" si="4">(F7-F3)/ABS(F3)</f>
        <v>1.5408181326048804E-2</v>
      </c>
      <c r="J7" s="4">
        <v>53.213597653060667</v>
      </c>
      <c r="K7" s="5">
        <f>(J7-J3)/ABS(J3)</f>
        <v>1.4951375550418458E-2</v>
      </c>
      <c r="L7" s="6">
        <v>5.5366666666666671</v>
      </c>
      <c r="M7" s="2">
        <f t="shared" ref="M7:M60" si="5">(L7-L3)/ABS(L3)</f>
        <v>1.2847317744154054</v>
      </c>
      <c r="N7" s="2">
        <v>2.1900000000000004</v>
      </c>
      <c r="O7" s="2">
        <f t="shared" ref="O7:O60" si="6">(N7-N3)/ABS(N3)</f>
        <v>165.24999999999625</v>
      </c>
    </row>
    <row r="8" spans="1:15" x14ac:dyDescent="0.2">
      <c r="A8" s="1" t="s">
        <v>7</v>
      </c>
      <c r="B8" s="1" t="str">
        <f t="shared" si="0"/>
        <v>2005</v>
      </c>
      <c r="C8" s="1" t="str">
        <f t="shared" si="1"/>
        <v>3</v>
      </c>
      <c r="D8">
        <v>9694071.9873448592</v>
      </c>
      <c r="E8">
        <v>2768739.4281318998</v>
      </c>
      <c r="F8" s="2">
        <v>13908986.730756</v>
      </c>
      <c r="G8" s="2">
        <f t="shared" si="2"/>
        <v>2.6975088537614593E-2</v>
      </c>
      <c r="H8" s="2">
        <f t="shared" si="3"/>
        <v>6.6083279435481104E-2</v>
      </c>
      <c r="I8" s="2">
        <f t="shared" si="4"/>
        <v>2.6338901861772054E-2</v>
      </c>
      <c r="J8" s="4">
        <v>52.869289815974007</v>
      </c>
      <c r="K8" s="5">
        <f>(J8-J4)/ABS(J4)</f>
        <v>-2.609122851974629E-3</v>
      </c>
      <c r="L8" s="6">
        <v>5.9033333333333342</v>
      </c>
      <c r="M8" s="2">
        <f t="shared" si="5"/>
        <v>1.2082294264339151</v>
      </c>
      <c r="N8" s="2">
        <v>2.7800000000000002</v>
      </c>
      <c r="O8" s="2">
        <f t="shared" si="6"/>
        <v>415.99999999999039</v>
      </c>
    </row>
    <row r="9" spans="1:15" x14ac:dyDescent="0.2">
      <c r="A9" s="1" t="s">
        <v>8</v>
      </c>
      <c r="B9" s="1" t="str">
        <f t="shared" si="0"/>
        <v>2005</v>
      </c>
      <c r="C9" s="1" t="str">
        <f t="shared" si="1"/>
        <v>4</v>
      </c>
      <c r="D9">
        <v>9712555.7594002094</v>
      </c>
      <c r="E9">
        <v>2864881.55895185</v>
      </c>
      <c r="F9" s="2">
        <v>14128523.288932901</v>
      </c>
      <c r="G9" s="2">
        <f t="shared" si="2"/>
        <v>1.6804805642798158E-2</v>
      </c>
      <c r="H9" s="2">
        <f t="shared" si="3"/>
        <v>7.3309797310934788E-2</v>
      </c>
      <c r="I9" s="2">
        <f t="shared" si="4"/>
        <v>2.9909031574138847E-2</v>
      </c>
      <c r="J9" s="4">
        <v>54.237696100031336</v>
      </c>
      <c r="K9" s="5">
        <f t="shared" ref="K9:K60" si="7">(J9-J5)/ABS(J5)</f>
        <v>2.315173167479909E-2</v>
      </c>
      <c r="L9" s="6">
        <v>6.0033333333333339</v>
      </c>
      <c r="M9" s="2">
        <f t="shared" si="5"/>
        <v>0.88389121338912213</v>
      </c>
      <c r="N9" s="2">
        <v>3.2000000000000006</v>
      </c>
      <c r="O9" s="2">
        <f t="shared" si="6"/>
        <v>12.52112676056335</v>
      </c>
    </row>
    <row r="10" spans="1:15" x14ac:dyDescent="0.2">
      <c r="A10" s="1" t="s">
        <v>9</v>
      </c>
      <c r="B10" s="1" t="str">
        <f t="shared" si="0"/>
        <v>2006</v>
      </c>
      <c r="C10" s="1" t="str">
        <f t="shared" si="1"/>
        <v>1</v>
      </c>
      <c r="D10">
        <v>9932316.38904172</v>
      </c>
      <c r="E10">
        <v>2933576.20938267</v>
      </c>
      <c r="F10" s="2">
        <v>14375203.8808695</v>
      </c>
      <c r="G10" s="2">
        <f t="shared" si="2"/>
        <v>3.7768825216464928E-2</v>
      </c>
      <c r="H10" s="2">
        <f t="shared" si="3"/>
        <v>7.7229725723135675E-2</v>
      </c>
      <c r="I10" s="2">
        <f t="shared" si="4"/>
        <v>4.6243261043862463E-2</v>
      </c>
      <c r="J10" s="4">
        <v>55.062271408471332</v>
      </c>
      <c r="K10" s="5">
        <f t="shared" si="7"/>
        <v>2.8042977794097895E-2</v>
      </c>
      <c r="L10" s="6">
        <v>4.32</v>
      </c>
      <c r="M10" s="2">
        <f t="shared" si="5"/>
        <v>-0.13715046604527295</v>
      </c>
      <c r="N10" s="2">
        <v>1.9000000000000008</v>
      </c>
      <c r="O10" s="2">
        <f t="shared" si="6"/>
        <v>0.11328125000000025</v>
      </c>
    </row>
    <row r="11" spans="1:15" x14ac:dyDescent="0.2">
      <c r="A11" s="1" t="s">
        <v>10</v>
      </c>
      <c r="B11" s="1" t="str">
        <f t="shared" si="0"/>
        <v>2006</v>
      </c>
      <c r="C11" s="1" t="str">
        <f t="shared" si="1"/>
        <v>2</v>
      </c>
      <c r="D11">
        <v>10045752.7646219</v>
      </c>
      <c r="E11">
        <v>3019541.9694984602</v>
      </c>
      <c r="F11" s="2">
        <v>14519950.2550516</v>
      </c>
      <c r="G11" s="2">
        <f t="shared" si="2"/>
        <v>4.9129174098815349E-2</v>
      </c>
      <c r="H11" s="2">
        <f t="shared" si="3"/>
        <v>0.10893235545484777</v>
      </c>
      <c r="I11" s="2">
        <f t="shared" si="4"/>
        <v>5.3696443202038667E-2</v>
      </c>
      <c r="J11" s="4">
        <v>55.130619821929336</v>
      </c>
      <c r="K11" s="5">
        <f t="shared" si="7"/>
        <v>3.6025043474173166E-2</v>
      </c>
      <c r="L11" s="6">
        <v>4.26</v>
      </c>
      <c r="M11" s="2">
        <f t="shared" si="5"/>
        <v>-0.23058398555087306</v>
      </c>
      <c r="N11" s="2">
        <v>2.003333333333333</v>
      </c>
      <c r="O11" s="2">
        <f t="shared" si="6"/>
        <v>-8.5235920852359537E-2</v>
      </c>
    </row>
    <row r="12" spans="1:15" x14ac:dyDescent="0.2">
      <c r="A12" s="1" t="s">
        <v>11</v>
      </c>
      <c r="B12" s="1" t="str">
        <f t="shared" si="0"/>
        <v>2006</v>
      </c>
      <c r="C12" s="1" t="str">
        <f t="shared" si="1"/>
        <v>3</v>
      </c>
      <c r="D12">
        <v>10044761.3950454</v>
      </c>
      <c r="E12">
        <v>3072895.4921897599</v>
      </c>
      <c r="F12" s="2">
        <v>14564503.5592086</v>
      </c>
      <c r="G12" s="2">
        <f t="shared" si="2"/>
        <v>3.6175655406556553E-2</v>
      </c>
      <c r="H12" s="2">
        <f t="shared" si="3"/>
        <v>0.10985362543237867</v>
      </c>
      <c r="I12" s="2">
        <f t="shared" si="4"/>
        <v>4.7129013862893421E-2</v>
      </c>
      <c r="J12" s="4">
        <v>56.514782042929006</v>
      </c>
      <c r="K12" s="5">
        <f t="shared" si="7"/>
        <v>6.8952925973549684E-2</v>
      </c>
      <c r="L12" s="6">
        <v>3.7666666666666653</v>
      </c>
      <c r="M12" s="2">
        <f t="shared" si="5"/>
        <v>-0.36194240542066664</v>
      </c>
      <c r="N12" s="2">
        <v>1.3966666666666661</v>
      </c>
      <c r="O12" s="2">
        <f t="shared" si="6"/>
        <v>-0.49760191846522805</v>
      </c>
    </row>
    <row r="13" spans="1:15" x14ac:dyDescent="0.2">
      <c r="A13" s="1" t="s">
        <v>12</v>
      </c>
      <c r="B13" s="1" t="str">
        <f t="shared" si="0"/>
        <v>2006</v>
      </c>
      <c r="C13" s="1" t="str">
        <f t="shared" si="1"/>
        <v>4</v>
      </c>
      <c r="D13">
        <v>10092712.0940884</v>
      </c>
      <c r="E13">
        <v>3087043.5959010599</v>
      </c>
      <c r="F13" s="2">
        <v>14594527.964783899</v>
      </c>
      <c r="G13" s="2">
        <f t="shared" si="2"/>
        <v>3.9140710653862605E-2</v>
      </c>
      <c r="H13" s="2">
        <f t="shared" si="3"/>
        <v>7.7546674226382478E-2</v>
      </c>
      <c r="I13" s="2">
        <f t="shared" si="4"/>
        <v>3.2983254252482816E-2</v>
      </c>
      <c r="J13" s="4">
        <v>56.402435766286665</v>
      </c>
      <c r="K13" s="5">
        <f t="shared" si="7"/>
        <v>3.9912087384074535E-2</v>
      </c>
      <c r="L13" s="6">
        <v>3.1733333333333329</v>
      </c>
      <c r="M13" s="2">
        <f t="shared" si="5"/>
        <v>-0.47140477512493073</v>
      </c>
      <c r="N13" s="2">
        <v>0.75</v>
      </c>
      <c r="O13" s="2">
        <f t="shared" si="6"/>
        <v>-0.765625</v>
      </c>
    </row>
    <row r="14" spans="1:15" x14ac:dyDescent="0.2">
      <c r="A14" s="1" t="s">
        <v>13</v>
      </c>
      <c r="B14" s="1" t="str">
        <f t="shared" si="0"/>
        <v>2007</v>
      </c>
      <c r="C14" s="1" t="str">
        <f t="shared" si="1"/>
        <v>1</v>
      </c>
      <c r="D14">
        <v>10231273.6663149</v>
      </c>
      <c r="E14">
        <v>3074347.90996789</v>
      </c>
      <c r="F14" s="2">
        <v>14698367.6903452</v>
      </c>
      <c r="G14" s="2">
        <f t="shared" si="2"/>
        <v>3.0099451685109243E-2</v>
      </c>
      <c r="H14" s="2">
        <f t="shared" si="3"/>
        <v>4.7986379264659852E-2</v>
      </c>
      <c r="I14" s="2">
        <f t="shared" si="4"/>
        <v>2.2480641815853849E-2</v>
      </c>
      <c r="J14" s="4">
        <v>58.442477730154671</v>
      </c>
      <c r="K14" s="5">
        <f t="shared" si="7"/>
        <v>6.1388791911757098E-2</v>
      </c>
      <c r="L14" s="6">
        <v>3.3433333333333337</v>
      </c>
      <c r="M14" s="2">
        <f t="shared" si="5"/>
        <v>-0.22608024691358022</v>
      </c>
      <c r="N14" s="2">
        <v>0.75666666666666593</v>
      </c>
      <c r="O14" s="2">
        <f t="shared" si="6"/>
        <v>-0.60175438596491282</v>
      </c>
    </row>
    <row r="15" spans="1:15" x14ac:dyDescent="0.2">
      <c r="A15" s="1" t="s">
        <v>14</v>
      </c>
      <c r="B15" s="1" t="str">
        <f t="shared" si="0"/>
        <v>2007</v>
      </c>
      <c r="C15" s="1" t="str">
        <f t="shared" si="1"/>
        <v>2</v>
      </c>
      <c r="D15">
        <v>10332961.4452581</v>
      </c>
      <c r="E15">
        <v>3138080.3430941398</v>
      </c>
      <c r="F15" s="2">
        <v>14812278.6541827</v>
      </c>
      <c r="G15" s="2">
        <f t="shared" si="2"/>
        <v>2.8590060632157025E-2</v>
      </c>
      <c r="H15" s="2">
        <f t="shared" si="3"/>
        <v>3.9257071036958836E-2</v>
      </c>
      <c r="I15" s="2">
        <f t="shared" si="4"/>
        <v>2.0132878831964136E-2</v>
      </c>
      <c r="J15" s="4">
        <v>57.413084432255999</v>
      </c>
      <c r="K15" s="5">
        <f t="shared" si="7"/>
        <v>4.1401032995801106E-2</v>
      </c>
      <c r="L15" s="6">
        <v>3.6500000000000008</v>
      </c>
      <c r="M15" s="2">
        <f t="shared" si="5"/>
        <v>-0.14319248826291056</v>
      </c>
      <c r="N15" s="2">
        <v>0.95666666666666744</v>
      </c>
      <c r="O15" s="2">
        <f t="shared" si="6"/>
        <v>-0.52246256239600619</v>
      </c>
    </row>
    <row r="16" spans="1:15" x14ac:dyDescent="0.2">
      <c r="A16" s="1" t="s">
        <v>15</v>
      </c>
      <c r="B16" s="1" t="str">
        <f t="shared" si="0"/>
        <v>2007</v>
      </c>
      <c r="C16" s="1" t="str">
        <f t="shared" si="1"/>
        <v>3</v>
      </c>
      <c r="D16">
        <v>10283449.328759201</v>
      </c>
      <c r="E16">
        <v>3238841.4348294502</v>
      </c>
      <c r="F16" s="2">
        <v>14904843.104296099</v>
      </c>
      <c r="G16" s="2">
        <f t="shared" si="2"/>
        <v>2.3762429422319035E-2</v>
      </c>
      <c r="H16" s="2">
        <f t="shared" si="3"/>
        <v>5.4003119553355357E-2</v>
      </c>
      <c r="I16" s="2">
        <f t="shared" si="4"/>
        <v>2.3367740871079356E-2</v>
      </c>
      <c r="J16" s="4">
        <v>56.613326456740673</v>
      </c>
      <c r="K16" s="5">
        <f t="shared" si="7"/>
        <v>1.7436927163022805E-3</v>
      </c>
      <c r="L16" s="6">
        <v>3.7166666666666663</v>
      </c>
      <c r="M16" s="2">
        <f t="shared" si="5"/>
        <v>-1.3274336283185563E-2</v>
      </c>
      <c r="N16" s="2">
        <v>1.0666666666666669</v>
      </c>
      <c r="O16" s="2">
        <f t="shared" si="6"/>
        <v>-0.23627684964200429</v>
      </c>
    </row>
    <row r="17" spans="1:15" x14ac:dyDescent="0.2">
      <c r="A17" s="1" t="s">
        <v>16</v>
      </c>
      <c r="B17" s="1" t="str">
        <f t="shared" si="0"/>
        <v>2007</v>
      </c>
      <c r="C17" s="1" t="str">
        <f t="shared" si="1"/>
        <v>4</v>
      </c>
      <c r="D17">
        <v>10272802.355771899</v>
      </c>
      <c r="E17">
        <v>3369142.12749214</v>
      </c>
      <c r="F17" s="2">
        <v>14963042.6294774</v>
      </c>
      <c r="G17" s="2">
        <f t="shared" si="2"/>
        <v>1.7843594467435928E-2</v>
      </c>
      <c r="H17" s="2">
        <f t="shared" si="3"/>
        <v>9.1381453752595931E-2</v>
      </c>
      <c r="I17" s="2">
        <f t="shared" si="4"/>
        <v>2.5250194153775593E-2</v>
      </c>
      <c r="J17" s="4">
        <v>56.223265136281334</v>
      </c>
      <c r="K17" s="5">
        <f t="shared" si="7"/>
        <v>-3.1766470289998714E-3</v>
      </c>
      <c r="L17" s="6">
        <v>4.0533333333333328</v>
      </c>
      <c r="M17" s="2">
        <f t="shared" si="5"/>
        <v>0.27731092436974791</v>
      </c>
      <c r="N17" s="2">
        <v>1.3666666666666658</v>
      </c>
      <c r="O17" s="2">
        <f t="shared" si="6"/>
        <v>0.82222222222222108</v>
      </c>
    </row>
    <row r="18" spans="1:15" x14ac:dyDescent="0.2">
      <c r="A18" s="1" t="s">
        <v>17</v>
      </c>
      <c r="B18" s="1" t="str">
        <f t="shared" si="0"/>
        <v>2008</v>
      </c>
      <c r="C18" s="1" t="str">
        <f t="shared" si="1"/>
        <v>1</v>
      </c>
      <c r="D18">
        <v>10418342.461404599</v>
      </c>
      <c r="E18">
        <v>3414481.2677625301</v>
      </c>
      <c r="F18" s="2">
        <v>14937498.399397099</v>
      </c>
      <c r="G18" s="2">
        <f t="shared" si="2"/>
        <v>1.828401831392687E-2</v>
      </c>
      <c r="H18" s="2">
        <f t="shared" si="3"/>
        <v>0.11063593573513046</v>
      </c>
      <c r="I18" s="2">
        <f t="shared" si="4"/>
        <v>1.6269201729725097E-2</v>
      </c>
      <c r="J18" s="4">
        <v>54.172781605004666</v>
      </c>
      <c r="K18" s="5">
        <f t="shared" si="7"/>
        <v>-7.305809560067579E-2</v>
      </c>
      <c r="L18" s="6">
        <v>4.0399999999999991</v>
      </c>
      <c r="M18" s="2">
        <f t="shared" si="5"/>
        <v>0.20837487537387797</v>
      </c>
      <c r="N18" s="2">
        <v>1.4433333333333329</v>
      </c>
      <c r="O18" s="2">
        <f t="shared" si="6"/>
        <v>0.90748898678414225</v>
      </c>
    </row>
    <row r="19" spans="1:15" x14ac:dyDescent="0.2">
      <c r="A19" s="1" t="s">
        <v>18</v>
      </c>
      <c r="B19" s="1" t="str">
        <f t="shared" si="0"/>
        <v>2008</v>
      </c>
      <c r="C19" s="1" t="str">
        <f t="shared" si="1"/>
        <v>2</v>
      </c>
      <c r="D19">
        <v>10497079.785025099</v>
      </c>
      <c r="E19">
        <v>3463445.5360666499</v>
      </c>
      <c r="F19" s="2">
        <v>15044806.4832222</v>
      </c>
      <c r="G19" s="2">
        <f t="shared" si="2"/>
        <v>1.5882991593113439E-2</v>
      </c>
      <c r="H19" s="2">
        <f t="shared" si="3"/>
        <v>0.10368287532488757</v>
      </c>
      <c r="I19" s="2">
        <f t="shared" si="4"/>
        <v>1.5698315868088116E-2</v>
      </c>
      <c r="J19" s="4">
        <v>50.229425036113668</v>
      </c>
      <c r="K19" s="5">
        <f t="shared" si="7"/>
        <v>-0.12512233869996342</v>
      </c>
      <c r="L19" s="6">
        <v>3.0366666666666671</v>
      </c>
      <c r="M19" s="2">
        <f t="shared" si="5"/>
        <v>-0.16803652968036537</v>
      </c>
      <c r="N19" s="2">
        <v>0.56666666666666732</v>
      </c>
      <c r="O19" s="2">
        <f t="shared" si="6"/>
        <v>-0.40766550522648065</v>
      </c>
    </row>
    <row r="20" spans="1:15" x14ac:dyDescent="0.2">
      <c r="A20" s="1" t="s">
        <v>19</v>
      </c>
      <c r="B20" s="1" t="str">
        <f t="shared" si="0"/>
        <v>2008</v>
      </c>
      <c r="C20" s="1" t="str">
        <f t="shared" si="1"/>
        <v>3</v>
      </c>
      <c r="D20">
        <v>10408700.894259701</v>
      </c>
      <c r="E20">
        <v>3456555.8772334098</v>
      </c>
      <c r="F20" s="2">
        <v>15092197.5504099</v>
      </c>
      <c r="G20" s="2">
        <f t="shared" si="2"/>
        <v>1.2179917603154322E-2</v>
      </c>
      <c r="H20" s="2">
        <f t="shared" si="3"/>
        <v>6.7219852155381579E-2</v>
      </c>
      <c r="I20" s="2">
        <f t="shared" si="4"/>
        <v>1.257003812806312E-2</v>
      </c>
      <c r="J20" s="4">
        <v>48.328387181170662</v>
      </c>
      <c r="K20" s="5">
        <f t="shared" si="7"/>
        <v>-0.14634256268090326</v>
      </c>
      <c r="L20" s="6">
        <v>3.0233333333333334</v>
      </c>
      <c r="M20" s="2">
        <f t="shared" si="5"/>
        <v>-0.18654708520179364</v>
      </c>
      <c r="N20" s="2">
        <v>0.36666666666666714</v>
      </c>
      <c r="O20" s="2">
        <f t="shared" si="6"/>
        <v>-0.65624999999999967</v>
      </c>
    </row>
    <row r="21" spans="1:15" x14ac:dyDescent="0.2">
      <c r="A21" s="1" t="s">
        <v>20</v>
      </c>
      <c r="B21" s="1" t="str">
        <f t="shared" si="0"/>
        <v>2008</v>
      </c>
      <c r="C21" s="1" t="str">
        <f t="shared" si="1"/>
        <v>4</v>
      </c>
      <c r="D21">
        <v>10016782.1455414</v>
      </c>
      <c r="E21">
        <v>3340126.89894776</v>
      </c>
      <c r="F21" s="2">
        <v>14850554.5196454</v>
      </c>
      <c r="G21" s="2">
        <f t="shared" si="2"/>
        <v>-2.4922139194730193E-2</v>
      </c>
      <c r="H21" s="2">
        <f t="shared" si="3"/>
        <v>-8.6120523998130857E-3</v>
      </c>
      <c r="I21" s="2">
        <f t="shared" si="4"/>
        <v>-7.517729690243404E-3</v>
      </c>
      <c r="J21" s="4">
        <v>37.979408676268342</v>
      </c>
      <c r="K21" s="5">
        <f t="shared" si="7"/>
        <v>-0.3244894514004325</v>
      </c>
      <c r="L21" s="6">
        <v>2.5366666666666662</v>
      </c>
      <c r="M21" s="2">
        <f t="shared" si="5"/>
        <v>-0.3741776315789474</v>
      </c>
      <c r="N21" s="2">
        <v>-8.6666666666666892E-2</v>
      </c>
      <c r="O21" s="2">
        <f t="shared" si="6"/>
        <v>-1.0634146341463417</v>
      </c>
    </row>
    <row r="22" spans="1:15" x14ac:dyDescent="0.2">
      <c r="A22" s="1" t="s">
        <v>21</v>
      </c>
      <c r="B22" s="1" t="str">
        <f t="shared" si="0"/>
        <v>2009</v>
      </c>
      <c r="C22" s="1" t="str">
        <f t="shared" si="1"/>
        <v>1</v>
      </c>
      <c r="D22">
        <v>9600144.5344829801</v>
      </c>
      <c r="E22">
        <v>3002714.8408363299</v>
      </c>
      <c r="F22" s="2">
        <v>14094573.5678967</v>
      </c>
      <c r="G22" s="2">
        <f t="shared" si="2"/>
        <v>-7.8534366666548394E-2</v>
      </c>
      <c r="H22" s="2">
        <f t="shared" si="3"/>
        <v>-0.12059413850468303</v>
      </c>
      <c r="I22" s="2">
        <f t="shared" si="4"/>
        <v>-5.643012028938002E-2</v>
      </c>
      <c r="J22" s="4">
        <v>35.09493194635467</v>
      </c>
      <c r="K22" s="5">
        <f t="shared" si="7"/>
        <v>-0.35216669872620165</v>
      </c>
      <c r="L22" s="6">
        <v>1.8233333333333341</v>
      </c>
      <c r="M22" s="2">
        <f t="shared" si="5"/>
        <v>-0.54867986798679835</v>
      </c>
      <c r="N22" s="2">
        <v>-0.58333333333333304</v>
      </c>
      <c r="O22" s="2">
        <f t="shared" si="6"/>
        <v>-1.4041570438799076</v>
      </c>
    </row>
    <row r="23" spans="1:15" x14ac:dyDescent="0.2">
      <c r="A23" s="1" t="s">
        <v>22</v>
      </c>
      <c r="B23" s="1" t="str">
        <f t="shared" si="0"/>
        <v>2009</v>
      </c>
      <c r="C23" s="1" t="str">
        <f t="shared" si="1"/>
        <v>2</v>
      </c>
      <c r="D23">
        <v>9500590.8528584</v>
      </c>
      <c r="E23">
        <v>3004386.6564621599</v>
      </c>
      <c r="F23" s="2">
        <v>13880914.330772299</v>
      </c>
      <c r="G23" s="2">
        <f t="shared" si="2"/>
        <v>-9.4930109380350555E-2</v>
      </c>
      <c r="H23" s="2">
        <f t="shared" si="3"/>
        <v>-0.13254398685472962</v>
      </c>
      <c r="I23" s="2">
        <f t="shared" si="4"/>
        <v>-7.7361723046943789E-2</v>
      </c>
      <c r="J23" s="4">
        <v>38.386558722612001</v>
      </c>
      <c r="K23" s="5">
        <f t="shared" si="7"/>
        <v>-0.23577547035401958</v>
      </c>
      <c r="L23" s="6">
        <v>-5.6666666666667531E-2</v>
      </c>
      <c r="M23" s="2">
        <f t="shared" si="5"/>
        <v>-1.0186608122941825</v>
      </c>
      <c r="N23" s="2">
        <v>-1.5366666666666671</v>
      </c>
      <c r="O23" s="2">
        <f t="shared" si="6"/>
        <v>-3.7117647058823504</v>
      </c>
    </row>
    <row r="24" spans="1:15" x14ac:dyDescent="0.2">
      <c r="A24" s="1" t="s">
        <v>23</v>
      </c>
      <c r="B24" s="1" t="str">
        <f t="shared" si="0"/>
        <v>2009</v>
      </c>
      <c r="C24" s="1" t="str">
        <f t="shared" si="1"/>
        <v>3</v>
      </c>
      <c r="D24">
        <v>9752309.2336373106</v>
      </c>
      <c r="E24">
        <v>3035261.6979538002</v>
      </c>
      <c r="F24" s="2">
        <v>14331662.6827373</v>
      </c>
      <c r="G24" s="2">
        <f t="shared" si="2"/>
        <v>-6.3061823688716406E-2</v>
      </c>
      <c r="H24" s="2">
        <f t="shared" si="3"/>
        <v>-0.12188264684348425</v>
      </c>
      <c r="I24" s="2">
        <f t="shared" si="4"/>
        <v>-5.0392586310397447E-2</v>
      </c>
      <c r="J24" s="4">
        <v>42.060538790893332</v>
      </c>
      <c r="K24" s="5">
        <f t="shared" si="7"/>
        <v>-0.12969289388410132</v>
      </c>
      <c r="L24" s="6">
        <v>-0.23000000000000043</v>
      </c>
      <c r="M24" s="2">
        <f t="shared" si="5"/>
        <v>-1.0760749724366043</v>
      </c>
      <c r="N24" s="2">
        <v>-1.6166666666666671</v>
      </c>
      <c r="O24" s="2">
        <f t="shared" si="6"/>
        <v>-5.4090909090909047</v>
      </c>
    </row>
    <row r="25" spans="1:15" x14ac:dyDescent="0.2">
      <c r="A25" s="1" t="s">
        <v>24</v>
      </c>
      <c r="B25" s="1" t="str">
        <f t="shared" si="0"/>
        <v>2009</v>
      </c>
      <c r="C25" s="1" t="str">
        <f t="shared" si="1"/>
        <v>4</v>
      </c>
      <c r="D25">
        <v>9961301.1794411596</v>
      </c>
      <c r="E25">
        <v>3031910.96253443</v>
      </c>
      <c r="F25" s="2">
        <v>14578769.866082201</v>
      </c>
      <c r="G25" s="2">
        <f t="shared" si="2"/>
        <v>-5.5388013130479663E-3</v>
      </c>
      <c r="H25" s="2">
        <f t="shared" si="3"/>
        <v>-9.227671454950627E-2</v>
      </c>
      <c r="I25" s="2">
        <f t="shared" si="4"/>
        <v>-1.830131347645389E-2</v>
      </c>
      <c r="J25" s="4">
        <v>45.471881957797997</v>
      </c>
      <c r="K25" s="5">
        <f t="shared" si="7"/>
        <v>0.19727724950629291</v>
      </c>
      <c r="L25" s="6">
        <v>0.94666666666666632</v>
      </c>
      <c r="M25" s="2">
        <f t="shared" si="5"/>
        <v>-0.62680683311432328</v>
      </c>
      <c r="N25" s="2">
        <v>-0.5299999999999998</v>
      </c>
      <c r="O25" s="2">
        <f t="shared" si="6"/>
        <v>-5.1153846153845972</v>
      </c>
    </row>
    <row r="26" spans="1:15" x14ac:dyDescent="0.2">
      <c r="A26" s="1" t="s">
        <v>25</v>
      </c>
      <c r="B26" s="1" t="str">
        <f t="shared" si="0"/>
        <v>2010</v>
      </c>
      <c r="C26" s="1" t="str">
        <f t="shared" si="1"/>
        <v>1</v>
      </c>
      <c r="D26">
        <v>9929216.8386518303</v>
      </c>
      <c r="E26">
        <v>3137291.7464558701</v>
      </c>
      <c r="F26" s="2">
        <v>14734268.4095241</v>
      </c>
      <c r="G26" s="2">
        <f t="shared" si="2"/>
        <v>3.4277848941424556E-2</v>
      </c>
      <c r="H26" s="2">
        <f t="shared" si="3"/>
        <v>4.481841025638561E-2</v>
      </c>
      <c r="I26" s="2">
        <f t="shared" si="4"/>
        <v>4.5385895397675416E-2</v>
      </c>
      <c r="J26" s="4">
        <v>49.128056783271006</v>
      </c>
      <c r="K26" s="5">
        <f t="shared" si="7"/>
        <v>0.39986186205937252</v>
      </c>
      <c r="L26" s="6">
        <v>0.163333333333334</v>
      </c>
      <c r="M26" s="2">
        <f t="shared" si="5"/>
        <v>-0.91042047531992654</v>
      </c>
      <c r="N26" s="2">
        <v>-1.3366666666666664</v>
      </c>
      <c r="O26" s="2">
        <f t="shared" si="6"/>
        <v>-1.2914285714285723</v>
      </c>
    </row>
    <row r="27" spans="1:15" x14ac:dyDescent="0.2">
      <c r="A27" s="1" t="s">
        <v>26</v>
      </c>
      <c r="B27" s="1" t="str">
        <f t="shared" si="0"/>
        <v>2010</v>
      </c>
      <c r="C27" s="1" t="str">
        <f t="shared" si="1"/>
        <v>2</v>
      </c>
      <c r="D27">
        <v>10020441.189902401</v>
      </c>
      <c r="E27">
        <v>3149910.4186796001</v>
      </c>
      <c r="F27" s="2">
        <v>14891104.2759773</v>
      </c>
      <c r="G27" s="2">
        <f t="shared" si="2"/>
        <v>5.4717684941415573E-2</v>
      </c>
      <c r="H27" s="2">
        <f t="shared" si="3"/>
        <v>4.843709510706018E-2</v>
      </c>
      <c r="I27" s="2">
        <f t="shared" si="4"/>
        <v>7.2775461409305936E-2</v>
      </c>
      <c r="J27" s="4">
        <v>55.401981182698997</v>
      </c>
      <c r="K27" s="5">
        <f t="shared" si="7"/>
        <v>0.44326511743455355</v>
      </c>
      <c r="L27" s="6">
        <v>0.98000000000000087</v>
      </c>
      <c r="M27" s="2">
        <f t="shared" si="5"/>
        <v>18.294117647058574</v>
      </c>
      <c r="N27" s="2">
        <v>-0.54999999999999938</v>
      </c>
      <c r="O27" s="2">
        <f t="shared" si="6"/>
        <v>0.64208242950108507</v>
      </c>
    </row>
    <row r="28" spans="1:15" x14ac:dyDescent="0.2">
      <c r="A28" s="1" t="s">
        <v>27</v>
      </c>
      <c r="B28" s="1" t="str">
        <f t="shared" si="0"/>
        <v>2010</v>
      </c>
      <c r="C28" s="1" t="str">
        <f t="shared" si="1"/>
        <v>3</v>
      </c>
      <c r="D28">
        <v>10057467.911375601</v>
      </c>
      <c r="E28">
        <v>3135034.7237943001</v>
      </c>
      <c r="F28" s="2">
        <v>15026996.824942401</v>
      </c>
      <c r="G28" s="2">
        <f t="shared" si="2"/>
        <v>3.1290914841558555E-2</v>
      </c>
      <c r="H28" s="2">
        <f t="shared" si="3"/>
        <v>3.2871309221132787E-2</v>
      </c>
      <c r="I28" s="2">
        <f t="shared" si="4"/>
        <v>4.8517339376305639E-2</v>
      </c>
      <c r="J28" s="4">
        <v>56.912539101250665</v>
      </c>
      <c r="K28" s="5">
        <f t="shared" si="7"/>
        <v>0.35311008221256995</v>
      </c>
      <c r="L28" s="6">
        <v>1.2333333333333338</v>
      </c>
      <c r="M28" s="2">
        <f t="shared" si="5"/>
        <v>6.362318840579702</v>
      </c>
      <c r="N28" s="2">
        <v>-0.22333333333333272</v>
      </c>
      <c r="O28" s="2">
        <f t="shared" si="6"/>
        <v>0.86185567010309316</v>
      </c>
    </row>
    <row r="29" spans="1:15" x14ac:dyDescent="0.2">
      <c r="A29" s="1" t="s">
        <v>28</v>
      </c>
      <c r="B29" s="1" t="str">
        <f t="shared" si="0"/>
        <v>2010</v>
      </c>
      <c r="C29" s="1" t="str">
        <f t="shared" si="1"/>
        <v>4</v>
      </c>
      <c r="D29">
        <v>10207778.971949499</v>
      </c>
      <c r="E29">
        <v>3214188.9782642298</v>
      </c>
      <c r="F29" s="2">
        <v>15150629.891168</v>
      </c>
      <c r="G29" s="2">
        <f t="shared" si="2"/>
        <v>2.4743533808317921E-2</v>
      </c>
      <c r="H29" s="2">
        <f t="shared" si="3"/>
        <v>6.0119844541025154E-2</v>
      </c>
      <c r="I29" s="2">
        <f t="shared" si="4"/>
        <v>3.9225533453013973E-2</v>
      </c>
      <c r="J29" s="4">
        <v>57.923660832662328</v>
      </c>
      <c r="K29" s="5">
        <f t="shared" si="7"/>
        <v>0.27383469385368092</v>
      </c>
      <c r="L29" s="6">
        <v>0.62999999999999901</v>
      </c>
      <c r="M29" s="2">
        <f t="shared" si="5"/>
        <v>-0.33450704225352196</v>
      </c>
      <c r="N29" s="2">
        <v>-0.89000000000000012</v>
      </c>
      <c r="O29" s="2">
        <f t="shared" si="6"/>
        <v>-0.67924528301886877</v>
      </c>
    </row>
    <row r="30" spans="1:15" x14ac:dyDescent="0.2">
      <c r="A30" s="1" t="s">
        <v>29</v>
      </c>
      <c r="B30" s="1" t="str">
        <f t="shared" si="0"/>
        <v>2011</v>
      </c>
      <c r="C30" s="1" t="str">
        <f t="shared" si="1"/>
        <v>1</v>
      </c>
      <c r="D30">
        <v>10208866.1608232</v>
      </c>
      <c r="E30">
        <v>3228797.3959834999</v>
      </c>
      <c r="F30" s="2">
        <v>15267885.6909975</v>
      </c>
      <c r="G30" s="2">
        <f t="shared" si="2"/>
        <v>2.816428795096591E-2</v>
      </c>
      <c r="H30" s="2">
        <f t="shared" si="3"/>
        <v>2.9167083243374407E-2</v>
      </c>
      <c r="I30" s="2">
        <f t="shared" si="4"/>
        <v>3.621606900607801E-2</v>
      </c>
      <c r="J30" s="4">
        <v>57.973942430053661</v>
      </c>
      <c r="K30" s="5">
        <f t="shared" si="7"/>
        <v>0.18005771499993134</v>
      </c>
      <c r="L30" s="6">
        <v>1.3833333333333333</v>
      </c>
      <c r="M30" s="2">
        <f t="shared" si="5"/>
        <v>7.469387755102006</v>
      </c>
      <c r="N30" s="2">
        <v>-0.15000000000000036</v>
      </c>
      <c r="O30" s="2">
        <f t="shared" si="6"/>
        <v>0.88778054862842859</v>
      </c>
    </row>
    <row r="31" spans="1:15" x14ac:dyDescent="0.2">
      <c r="A31" s="1" t="s">
        <v>30</v>
      </c>
      <c r="B31" s="1" t="str">
        <f t="shared" si="0"/>
        <v>2011</v>
      </c>
      <c r="C31" s="1" t="str">
        <f t="shared" si="1"/>
        <v>2</v>
      </c>
      <c r="D31">
        <v>10364132.703823401</v>
      </c>
      <c r="E31">
        <v>3378745.1272038599</v>
      </c>
      <c r="F31" s="2">
        <v>15343110.867473099</v>
      </c>
      <c r="G31" s="2">
        <f t="shared" si="2"/>
        <v>3.4299040072939907E-2</v>
      </c>
      <c r="H31" s="2">
        <f t="shared" si="3"/>
        <v>7.2648005215394079E-2</v>
      </c>
      <c r="I31" s="2">
        <f t="shared" si="4"/>
        <v>3.0354135134557293E-2</v>
      </c>
      <c r="J31" s="4">
        <v>56.81673724595867</v>
      </c>
      <c r="K31" s="5">
        <f t="shared" si="7"/>
        <v>2.5536199844446637E-2</v>
      </c>
      <c r="L31" s="6">
        <v>1.5533333333333332</v>
      </c>
      <c r="M31" s="2">
        <f t="shared" si="5"/>
        <v>0.58503401360544072</v>
      </c>
      <c r="N31" s="2">
        <v>7.333333333333325E-2</v>
      </c>
      <c r="O31" s="2">
        <f t="shared" si="6"/>
        <v>1.1333333333333333</v>
      </c>
    </row>
    <row r="32" spans="1:15" x14ac:dyDescent="0.2">
      <c r="A32" s="1" t="s">
        <v>31</v>
      </c>
      <c r="B32" s="1" t="str">
        <f t="shared" si="0"/>
        <v>2011</v>
      </c>
      <c r="C32" s="1" t="str">
        <f t="shared" si="1"/>
        <v>3</v>
      </c>
      <c r="D32">
        <v>10497461.0713876</v>
      </c>
      <c r="E32">
        <v>3461194.63011134</v>
      </c>
      <c r="F32" s="2">
        <v>15638012.9034307</v>
      </c>
      <c r="G32" s="2">
        <f t="shared" si="2"/>
        <v>4.3747905923153939E-2</v>
      </c>
      <c r="H32" s="2">
        <f t="shared" si="3"/>
        <v>0.10403709529644121</v>
      </c>
      <c r="I32" s="2">
        <f t="shared" si="4"/>
        <v>4.0661223636788896E-2</v>
      </c>
      <c r="J32" s="4">
        <v>55.670492405835326</v>
      </c>
      <c r="K32" s="5">
        <f t="shared" si="7"/>
        <v>-2.1823779346861815E-2</v>
      </c>
      <c r="L32" s="6">
        <v>1.433333333333334</v>
      </c>
      <c r="M32" s="2">
        <f t="shared" si="5"/>
        <v>0.16216216216216223</v>
      </c>
      <c r="N32" s="2">
        <v>-1.9999999999999574E-2</v>
      </c>
      <c r="O32" s="2">
        <f t="shared" si="6"/>
        <v>0.91044776119403148</v>
      </c>
    </row>
    <row r="33" spans="1:15" x14ac:dyDescent="0.2">
      <c r="A33" s="1" t="s">
        <v>32</v>
      </c>
      <c r="B33" s="1" t="str">
        <f t="shared" si="0"/>
        <v>2011</v>
      </c>
      <c r="C33" s="1" t="str">
        <f t="shared" si="1"/>
        <v>4</v>
      </c>
      <c r="D33">
        <v>10501263.9141357</v>
      </c>
      <c r="E33">
        <v>3552178.1261713998</v>
      </c>
      <c r="F33" s="2">
        <v>15749407.468297601</v>
      </c>
      <c r="G33" s="2">
        <f t="shared" si="2"/>
        <v>2.8751106679786458E-2</v>
      </c>
      <c r="H33" s="2">
        <f t="shared" si="3"/>
        <v>0.10515534406744668</v>
      </c>
      <c r="I33" s="2">
        <f t="shared" si="4"/>
        <v>3.952162922801352E-2</v>
      </c>
      <c r="J33" s="4">
        <v>54.686601748680324</v>
      </c>
      <c r="K33" s="5">
        <f t="shared" si="7"/>
        <v>-5.5884918830210961E-2</v>
      </c>
      <c r="L33" s="6">
        <v>1.2966666666666669</v>
      </c>
      <c r="M33" s="2">
        <f t="shared" si="5"/>
        <v>1.0582010582010617</v>
      </c>
      <c r="N33" s="2">
        <v>-0.18999999999999995</v>
      </c>
      <c r="O33" s="2">
        <f t="shared" si="6"/>
        <v>0.78651685393258441</v>
      </c>
    </row>
    <row r="34" spans="1:15" x14ac:dyDescent="0.2">
      <c r="A34" s="1" t="s">
        <v>33</v>
      </c>
      <c r="B34" s="1" t="str">
        <f t="shared" si="0"/>
        <v>2012</v>
      </c>
      <c r="C34" s="1" t="str">
        <f t="shared" si="1"/>
        <v>1</v>
      </c>
      <c r="D34">
        <v>10599463.5832865</v>
      </c>
      <c r="E34">
        <v>3547342.6266222401</v>
      </c>
      <c r="F34" s="2">
        <v>15848649.079218199</v>
      </c>
      <c r="G34" s="2">
        <f t="shared" si="2"/>
        <v>3.8260607623815057E-2</v>
      </c>
      <c r="H34" s="2">
        <f t="shared" si="3"/>
        <v>9.8657546935276327E-2</v>
      </c>
      <c r="I34" s="2">
        <f t="shared" si="4"/>
        <v>3.8038232665256244E-2</v>
      </c>
      <c r="J34" s="4">
        <v>55.328805601873</v>
      </c>
      <c r="K34" s="5">
        <f t="shared" si="7"/>
        <v>-4.5626305842009177E-2</v>
      </c>
      <c r="L34" s="6">
        <v>0.89666666666666694</v>
      </c>
      <c r="M34" s="2">
        <f t="shared" si="5"/>
        <v>-0.35180722891566246</v>
      </c>
      <c r="N34" s="2">
        <v>-0.6333333333333333</v>
      </c>
      <c r="O34" s="2">
        <f t="shared" si="6"/>
        <v>-3.2222222222222121</v>
      </c>
    </row>
    <row r="35" spans="1:15" x14ac:dyDescent="0.2">
      <c r="A35" s="1" t="s">
        <v>34</v>
      </c>
      <c r="B35" s="1" t="str">
        <f t="shared" ref="B35:B68" si="8">LEFT(A35,4)</f>
        <v>2012</v>
      </c>
      <c r="C35" s="1" t="str">
        <f t="shared" ref="C35:C68" si="9">RIGHT(A35,1)</f>
        <v>2</v>
      </c>
      <c r="D35">
        <v>10576207.520103</v>
      </c>
      <c r="E35">
        <v>3580273.7206026101</v>
      </c>
      <c r="F35" s="2">
        <v>15980724.451230001</v>
      </c>
      <c r="G35" s="2">
        <f t="shared" si="2"/>
        <v>2.0462379471594721E-2</v>
      </c>
      <c r="H35" s="2">
        <f t="shared" si="3"/>
        <v>5.9645988617534118E-2</v>
      </c>
      <c r="I35" s="2">
        <f t="shared" si="4"/>
        <v>4.1556995140315488E-2</v>
      </c>
      <c r="J35" s="4">
        <v>54.030248337599005</v>
      </c>
      <c r="K35" s="5">
        <f t="shared" si="7"/>
        <v>-4.904345169095161E-2</v>
      </c>
      <c r="L35" s="6">
        <v>0.88666666666666627</v>
      </c>
      <c r="M35" s="2">
        <f t="shared" si="5"/>
        <v>-0.42918454935622341</v>
      </c>
      <c r="N35" s="2">
        <v>-0.61000000000000032</v>
      </c>
      <c r="O35" s="2">
        <f t="shared" si="6"/>
        <v>-9.3181818181818326</v>
      </c>
    </row>
    <row r="36" spans="1:15" x14ac:dyDescent="0.2">
      <c r="A36" s="1" t="s">
        <v>35</v>
      </c>
      <c r="B36" s="1" t="str">
        <f t="shared" si="8"/>
        <v>2012</v>
      </c>
      <c r="C36" s="1" t="str">
        <f t="shared" si="9"/>
        <v>3</v>
      </c>
      <c r="D36">
        <v>10621694.6359124</v>
      </c>
      <c r="E36">
        <v>3628000.0522441999</v>
      </c>
      <c r="F36" s="2">
        <v>16078652.869709101</v>
      </c>
      <c r="G36" s="2">
        <f t="shared" si="2"/>
        <v>1.1834629695690584E-2</v>
      </c>
      <c r="H36" s="2">
        <f t="shared" si="3"/>
        <v>4.8193020028895091E-2</v>
      </c>
      <c r="I36" s="2">
        <f t="shared" si="4"/>
        <v>2.8177490899865657E-2</v>
      </c>
      <c r="J36" s="4">
        <v>54.701124652949339</v>
      </c>
      <c r="K36" s="5">
        <f t="shared" si="7"/>
        <v>-1.7412595272542953E-2</v>
      </c>
      <c r="L36" s="6">
        <v>0.20333333333333314</v>
      </c>
      <c r="M36" s="2">
        <f t="shared" si="5"/>
        <v>-0.85813953488372108</v>
      </c>
      <c r="N36" s="2">
        <v>-1.3533333333333339</v>
      </c>
      <c r="O36" s="2">
        <f t="shared" si="6"/>
        <v>-66.666666666668135</v>
      </c>
    </row>
    <row r="37" spans="1:15" x14ac:dyDescent="0.2">
      <c r="A37" s="1" t="s">
        <v>36</v>
      </c>
      <c r="B37" s="1" t="str">
        <f t="shared" si="8"/>
        <v>2012</v>
      </c>
      <c r="C37" s="1" t="str">
        <f t="shared" si="9"/>
        <v>4</v>
      </c>
      <c r="D37">
        <v>10677711.0974232</v>
      </c>
      <c r="E37">
        <v>3551933.8187161698</v>
      </c>
      <c r="F37" s="2">
        <v>16215690.862600399</v>
      </c>
      <c r="G37" s="2">
        <f t="shared" si="2"/>
        <v>1.680247108635988E-2</v>
      </c>
      <c r="H37" s="2">
        <f t="shared" si="3"/>
        <v>-6.8776803007161545E-5</v>
      </c>
      <c r="I37" s="2">
        <f t="shared" si="4"/>
        <v>2.9606408700860183E-2</v>
      </c>
      <c r="J37" s="4">
        <v>56.448746154982338</v>
      </c>
      <c r="K37" s="5">
        <f t="shared" si="7"/>
        <v>3.2222598405367855E-2</v>
      </c>
      <c r="L37" s="6">
        <v>0.71666666666666679</v>
      </c>
      <c r="M37" s="2">
        <f t="shared" si="5"/>
        <v>-0.4473007712082262</v>
      </c>
      <c r="N37" s="2">
        <v>-0.83999999999999941</v>
      </c>
      <c r="O37" s="2">
        <f t="shared" si="6"/>
        <v>-3.4210526315789456</v>
      </c>
    </row>
    <row r="38" spans="1:15" x14ac:dyDescent="0.2">
      <c r="A38" s="1" t="s">
        <v>37</v>
      </c>
      <c r="B38" s="1" t="str">
        <f t="shared" si="8"/>
        <v>2013</v>
      </c>
      <c r="C38" s="1" t="str">
        <f t="shared" si="9"/>
        <v>1</v>
      </c>
      <c r="D38">
        <v>10820542.3356805</v>
      </c>
      <c r="E38">
        <v>3549612.2949568401</v>
      </c>
      <c r="F38" s="2">
        <v>16261832.660982801</v>
      </c>
      <c r="G38" s="2">
        <f t="shared" si="2"/>
        <v>2.0857541578104256E-2</v>
      </c>
      <c r="H38" s="2">
        <f t="shared" si="3"/>
        <v>6.3982213546742044E-4</v>
      </c>
      <c r="I38" s="2">
        <f t="shared" si="4"/>
        <v>2.6070586817799814E-2</v>
      </c>
      <c r="J38" s="4">
        <v>57.400159518897659</v>
      </c>
      <c r="K38" s="5">
        <f t="shared" si="7"/>
        <v>3.7437170285753274E-2</v>
      </c>
      <c r="L38" s="6">
        <v>1.0300000000000002</v>
      </c>
      <c r="M38" s="2">
        <f t="shared" si="5"/>
        <v>0.14869888475836424</v>
      </c>
      <c r="N38" s="2">
        <v>-0.44666666666666677</v>
      </c>
      <c r="O38" s="2">
        <f t="shared" si="6"/>
        <v>0.29473684210526296</v>
      </c>
    </row>
    <row r="39" spans="1:15" x14ac:dyDescent="0.2">
      <c r="A39" s="1" t="s">
        <v>38</v>
      </c>
      <c r="B39" s="1" t="str">
        <f t="shared" si="8"/>
        <v>2013</v>
      </c>
      <c r="C39" s="1" t="str">
        <f t="shared" si="9"/>
        <v>2</v>
      </c>
      <c r="D39">
        <v>10768645.110261399</v>
      </c>
      <c r="E39">
        <v>3437821.1865624301</v>
      </c>
      <c r="F39" s="2">
        <v>16155461.308653301</v>
      </c>
      <c r="G39" s="2">
        <f t="shared" si="2"/>
        <v>1.8195330395382132E-2</v>
      </c>
      <c r="H39" s="2">
        <f t="shared" si="3"/>
        <v>-3.9788168491263647E-2</v>
      </c>
      <c r="I39" s="2">
        <f t="shared" si="4"/>
        <v>1.0934226289713094E-2</v>
      </c>
      <c r="J39" s="4">
        <v>56.630935080057327</v>
      </c>
      <c r="K39" s="5">
        <f t="shared" si="7"/>
        <v>4.8133903183423553E-2</v>
      </c>
      <c r="L39" s="6">
        <v>-0.14000000000000057</v>
      </c>
      <c r="M39" s="2">
        <f t="shared" si="5"/>
        <v>-1.157894736842106</v>
      </c>
      <c r="N39" s="2">
        <v>-1.4600000000000004</v>
      </c>
      <c r="O39" s="2">
        <f t="shared" si="6"/>
        <v>-1.393442622950819</v>
      </c>
    </row>
    <row r="40" spans="1:15" x14ac:dyDescent="0.2">
      <c r="A40" s="1" t="s">
        <v>39</v>
      </c>
      <c r="B40" s="1" t="str">
        <f t="shared" si="8"/>
        <v>2013</v>
      </c>
      <c r="C40" s="1" t="str">
        <f t="shared" si="9"/>
        <v>3</v>
      </c>
      <c r="D40">
        <v>10821641.643128499</v>
      </c>
      <c r="E40">
        <v>3406769.3007760802</v>
      </c>
      <c r="F40" s="2">
        <v>16312580.9661204</v>
      </c>
      <c r="G40" s="2">
        <f t="shared" si="2"/>
        <v>1.8824397995784056E-2</v>
      </c>
      <c r="H40" s="2">
        <f t="shared" si="3"/>
        <v>-6.0978706803289949E-2</v>
      </c>
      <c r="I40" s="2">
        <f t="shared" si="4"/>
        <v>1.4548986056661552E-2</v>
      </c>
      <c r="J40" s="4">
        <v>54.704297173352664</v>
      </c>
      <c r="K40" s="5">
        <f t="shared" si="7"/>
        <v>5.799735240277182E-5</v>
      </c>
      <c r="L40" s="6">
        <v>0.80333333333333323</v>
      </c>
      <c r="M40" s="2">
        <f t="shared" si="5"/>
        <v>2.9508196721311508</v>
      </c>
      <c r="N40" s="2">
        <v>-0.52333333333333343</v>
      </c>
      <c r="O40" s="2">
        <f t="shared" si="6"/>
        <v>0.61330049261083752</v>
      </c>
    </row>
    <row r="41" spans="1:15" x14ac:dyDescent="0.2">
      <c r="A41" s="1" t="s">
        <v>40</v>
      </c>
      <c r="B41" s="1" t="str">
        <f t="shared" si="8"/>
        <v>2013</v>
      </c>
      <c r="C41" s="1" t="str">
        <f t="shared" si="9"/>
        <v>4</v>
      </c>
      <c r="D41">
        <v>10891234.2026146</v>
      </c>
      <c r="E41">
        <v>3441810.6597762601</v>
      </c>
      <c r="F41" s="2">
        <v>16409300.6554657</v>
      </c>
      <c r="G41" s="2">
        <f t="shared" si="2"/>
        <v>1.9997085821410618E-2</v>
      </c>
      <c r="H41" s="2">
        <f t="shared" si="3"/>
        <v>-3.1003719258404755E-2</v>
      </c>
      <c r="I41" s="2">
        <f t="shared" si="4"/>
        <v>1.1939657366793971E-2</v>
      </c>
      <c r="J41" s="4">
        <v>51.846329769181331</v>
      </c>
      <c r="K41" s="5">
        <f t="shared" si="7"/>
        <v>-8.1532659258097329E-2</v>
      </c>
      <c r="L41" s="6">
        <v>0.2033333333333327</v>
      </c>
      <c r="M41" s="2">
        <f t="shared" si="5"/>
        <v>-0.71627906976744282</v>
      </c>
      <c r="N41" s="2">
        <v>-0.90666666666666673</v>
      </c>
      <c r="O41" s="2">
        <f t="shared" si="6"/>
        <v>-7.9365079365080193E-2</v>
      </c>
    </row>
    <row r="42" spans="1:15" x14ac:dyDescent="0.2">
      <c r="A42" s="1" t="s">
        <v>41</v>
      </c>
      <c r="B42" s="1" t="str">
        <f t="shared" si="8"/>
        <v>2014</v>
      </c>
      <c r="C42" s="1" t="str">
        <f t="shared" si="9"/>
        <v>1</v>
      </c>
      <c r="D42">
        <v>10901673.7838447</v>
      </c>
      <c r="E42">
        <v>3475824.7868538699</v>
      </c>
      <c r="F42" s="2">
        <v>16524019.114212099</v>
      </c>
      <c r="G42" s="2">
        <f t="shared" si="2"/>
        <v>7.497909591524932E-3</v>
      </c>
      <c r="H42" s="2">
        <f t="shared" si="3"/>
        <v>-2.0787483807120231E-2</v>
      </c>
      <c r="I42" s="2">
        <f t="shared" si="4"/>
        <v>1.6122810921450799E-2</v>
      </c>
      <c r="J42" s="4">
        <v>52.122225446414667</v>
      </c>
      <c r="K42" s="5">
        <f t="shared" si="7"/>
        <v>-9.1949815413759531E-2</v>
      </c>
      <c r="L42" s="6">
        <v>-0.3666666666666667</v>
      </c>
      <c r="M42" s="2">
        <f t="shared" si="5"/>
        <v>-1.3559870550161812</v>
      </c>
      <c r="N42" s="2">
        <v>-1.5833333333333339</v>
      </c>
      <c r="O42" s="2">
        <f t="shared" si="6"/>
        <v>-2.5447761194029854</v>
      </c>
    </row>
    <row r="43" spans="1:15" x14ac:dyDescent="0.2">
      <c r="A43" s="1" t="s">
        <v>42</v>
      </c>
      <c r="B43" s="1" t="str">
        <f t="shared" si="8"/>
        <v>2014</v>
      </c>
      <c r="C43" s="1" t="str">
        <f t="shared" si="9"/>
        <v>2</v>
      </c>
      <c r="D43">
        <v>11095925.642301099</v>
      </c>
      <c r="E43">
        <v>3553809.6429365799</v>
      </c>
      <c r="F43" s="2">
        <v>16725496.1885047</v>
      </c>
      <c r="G43" s="2">
        <f t="shared" si="2"/>
        <v>3.039198791385889E-2</v>
      </c>
      <c r="H43" s="2">
        <f t="shared" si="3"/>
        <v>3.3738943964717882E-2</v>
      </c>
      <c r="I43" s="2">
        <f t="shared" si="4"/>
        <v>3.5284345582015222E-2</v>
      </c>
      <c r="J43" s="4">
        <v>52.134037500430999</v>
      </c>
      <c r="K43" s="5">
        <f t="shared" si="7"/>
        <v>-7.9407086838124932E-2</v>
      </c>
      <c r="L43" s="6">
        <v>9.3333333333333268E-2</v>
      </c>
      <c r="M43" s="2">
        <f t="shared" si="5"/>
        <v>1.6666666666666634</v>
      </c>
      <c r="N43" s="2">
        <v>-1.0366666666666662</v>
      </c>
      <c r="O43" s="2">
        <f t="shared" si="6"/>
        <v>0.28995433789954389</v>
      </c>
    </row>
    <row r="44" spans="1:15" x14ac:dyDescent="0.2">
      <c r="A44" s="1" t="s">
        <v>43</v>
      </c>
      <c r="B44" s="1" t="str">
        <f t="shared" si="8"/>
        <v>2014</v>
      </c>
      <c r="C44" s="1" t="str">
        <f t="shared" si="9"/>
        <v>3</v>
      </c>
      <c r="D44">
        <v>11081572.918846</v>
      </c>
      <c r="E44">
        <v>3535680.3313534502</v>
      </c>
      <c r="F44" s="2">
        <v>16783459.824043602</v>
      </c>
      <c r="G44" s="2">
        <f t="shared" si="2"/>
        <v>2.4019578940922624E-2</v>
      </c>
      <c r="H44" s="2">
        <f t="shared" si="3"/>
        <v>3.7839671312056074E-2</v>
      </c>
      <c r="I44" s="2">
        <f t="shared" si="4"/>
        <v>2.8865993609544102E-2</v>
      </c>
      <c r="J44" s="4">
        <v>53.022787122548003</v>
      </c>
      <c r="K44" s="5">
        <f t="shared" si="7"/>
        <v>-3.0738171180156419E-2</v>
      </c>
      <c r="L44" s="6">
        <v>-0.85000000000000053</v>
      </c>
      <c r="M44" s="2">
        <f t="shared" si="5"/>
        <v>-2.0580912863070546</v>
      </c>
      <c r="N44" s="2">
        <v>-1.8366666666666673</v>
      </c>
      <c r="O44" s="2">
        <f t="shared" si="6"/>
        <v>-2.5095541401273893</v>
      </c>
    </row>
    <row r="45" spans="1:15" x14ac:dyDescent="0.2">
      <c r="A45" s="1" t="s">
        <v>44</v>
      </c>
      <c r="B45" s="1" t="str">
        <f t="shared" si="8"/>
        <v>2014</v>
      </c>
      <c r="C45" s="1" t="str">
        <f t="shared" si="9"/>
        <v>4</v>
      </c>
      <c r="D45">
        <v>11149739.7364983</v>
      </c>
      <c r="E45">
        <v>3666054.0679474198</v>
      </c>
      <c r="F45" s="2">
        <v>16966771.915599</v>
      </c>
      <c r="G45" s="2">
        <f t="shared" si="2"/>
        <v>2.3735191905215124E-2</v>
      </c>
      <c r="H45" s="2">
        <f t="shared" si="3"/>
        <v>6.5152743813553349E-2</v>
      </c>
      <c r="I45" s="2">
        <f t="shared" si="4"/>
        <v>3.3972883539531859E-2</v>
      </c>
      <c r="J45" s="4">
        <v>52.371479066084333</v>
      </c>
      <c r="K45" s="5">
        <f t="shared" si="7"/>
        <v>1.0128958004181879E-2</v>
      </c>
      <c r="L45" s="6">
        <v>-0.88999999999999968</v>
      </c>
      <c r="M45" s="2">
        <f t="shared" si="5"/>
        <v>-5.377049180327881</v>
      </c>
      <c r="N45" s="2">
        <v>-1.9633333333333325</v>
      </c>
      <c r="O45" s="2">
        <f t="shared" si="6"/>
        <v>-1.1654411764705872</v>
      </c>
    </row>
    <row r="46" spans="1:15" x14ac:dyDescent="0.2">
      <c r="A46" s="1" t="s">
        <v>45</v>
      </c>
      <c r="B46" s="1" t="str">
        <f t="shared" si="8"/>
        <v>2015</v>
      </c>
      <c r="C46" s="1" t="str">
        <f t="shared" si="9"/>
        <v>1</v>
      </c>
      <c r="D46">
        <v>11198364.675095901</v>
      </c>
      <c r="E46">
        <v>3613282.0594447199</v>
      </c>
      <c r="F46" s="2">
        <v>17062064.916970801</v>
      </c>
      <c r="G46" s="2">
        <f t="shared" si="2"/>
        <v>2.7215168710227784E-2</v>
      </c>
      <c r="H46" s="2">
        <f t="shared" si="3"/>
        <v>3.9546663315923054E-2</v>
      </c>
      <c r="I46" s="2">
        <f t="shared" si="4"/>
        <v>3.2561436720678613E-2</v>
      </c>
      <c r="J46" s="4">
        <v>50.197115298517666</v>
      </c>
      <c r="K46" s="5">
        <f t="shared" si="7"/>
        <v>-3.6934534767249158E-2</v>
      </c>
      <c r="L46" s="6">
        <v>0.22999999999999909</v>
      </c>
      <c r="M46" s="2">
        <f t="shared" si="5"/>
        <v>1.6272727272727248</v>
      </c>
      <c r="N46" s="2">
        <v>-0.8533333333333335</v>
      </c>
      <c r="O46" s="2">
        <f t="shared" si="6"/>
        <v>0.46105263157894749</v>
      </c>
    </row>
    <row r="47" spans="1:15" x14ac:dyDescent="0.2">
      <c r="A47" s="1" t="s">
        <v>46</v>
      </c>
      <c r="B47" s="1" t="str">
        <f t="shared" si="8"/>
        <v>2015</v>
      </c>
      <c r="C47" s="1" t="str">
        <f t="shared" si="9"/>
        <v>2</v>
      </c>
      <c r="D47">
        <v>11281091.402498901</v>
      </c>
      <c r="E47">
        <v>3739599.18561893</v>
      </c>
      <c r="F47" s="2">
        <v>17260060.303881101</v>
      </c>
      <c r="G47" s="2">
        <f t="shared" si="2"/>
        <v>1.668772540182609E-2</v>
      </c>
      <c r="H47" s="2">
        <f t="shared" si="3"/>
        <v>5.2278979841145559E-2</v>
      </c>
      <c r="I47" s="2">
        <f t="shared" si="4"/>
        <v>3.1961031789526424E-2</v>
      </c>
      <c r="J47" s="4">
        <v>49.556313318185339</v>
      </c>
      <c r="K47" s="5">
        <f t="shared" si="7"/>
        <v>-4.9444169410902614E-2</v>
      </c>
      <c r="L47" s="6">
        <v>0.36333333333333329</v>
      </c>
      <c r="M47" s="2">
        <f t="shared" si="5"/>
        <v>2.892857142857145</v>
      </c>
      <c r="N47" s="2">
        <v>-0.70333333333333226</v>
      </c>
      <c r="O47" s="2">
        <f t="shared" si="6"/>
        <v>0.32154340836012935</v>
      </c>
    </row>
    <row r="48" spans="1:15" x14ac:dyDescent="0.2">
      <c r="A48" s="1" t="s">
        <v>47</v>
      </c>
      <c r="B48" s="1" t="str">
        <f t="shared" si="8"/>
        <v>2015</v>
      </c>
      <c r="C48" s="1" t="str">
        <f t="shared" si="9"/>
        <v>3</v>
      </c>
      <c r="D48">
        <v>11385787.556962101</v>
      </c>
      <c r="E48">
        <v>3856003.8700225698</v>
      </c>
      <c r="F48" s="2">
        <v>17466109.703815699</v>
      </c>
      <c r="G48" s="2">
        <f t="shared" si="2"/>
        <v>2.7452297642578772E-2</v>
      </c>
      <c r="H48" s="2">
        <f t="shared" si="3"/>
        <v>9.0597426421324831E-2</v>
      </c>
      <c r="I48" s="2">
        <f t="shared" si="4"/>
        <v>4.0673966329287374E-2</v>
      </c>
      <c r="J48" s="4">
        <v>48.796021689096335</v>
      </c>
      <c r="K48" s="5">
        <f t="shared" si="7"/>
        <v>-7.9716017637523076E-2</v>
      </c>
      <c r="L48" s="6">
        <v>0.69999999999999973</v>
      </c>
      <c r="M48" s="2">
        <f t="shared" si="5"/>
        <v>1.823529411764705</v>
      </c>
      <c r="N48" s="2">
        <v>-0.4700000000000002</v>
      </c>
      <c r="O48" s="2">
        <f t="shared" si="6"/>
        <v>0.7441016333938294</v>
      </c>
    </row>
    <row r="49" spans="1:15" x14ac:dyDescent="0.2">
      <c r="A49" s="1" t="s">
        <v>48</v>
      </c>
      <c r="B49" s="1" t="str">
        <f t="shared" si="8"/>
        <v>2015</v>
      </c>
      <c r="C49" s="1" t="str">
        <f t="shared" si="9"/>
        <v>4</v>
      </c>
      <c r="D49">
        <v>11547826.6498638</v>
      </c>
      <c r="E49">
        <v>3717090.3569140402</v>
      </c>
      <c r="F49" s="2">
        <v>17430004.925392698</v>
      </c>
      <c r="G49" s="2">
        <f t="shared" si="2"/>
        <v>3.5703695581554777E-2</v>
      </c>
      <c r="H49" s="2">
        <f t="shared" si="3"/>
        <v>1.3921313766982971E-2</v>
      </c>
      <c r="I49" s="2">
        <f t="shared" si="4"/>
        <v>2.7302365594235944E-2</v>
      </c>
      <c r="J49" s="4">
        <v>50.644890255300673</v>
      </c>
      <c r="K49" s="5">
        <f t="shared" si="7"/>
        <v>-3.2968112445420618E-2</v>
      </c>
      <c r="L49" s="6">
        <v>1.0766666666666671</v>
      </c>
      <c r="M49" s="2">
        <f t="shared" si="5"/>
        <v>2.2097378277153568</v>
      </c>
      <c r="N49" s="2">
        <v>-0.13999999999999968</v>
      </c>
      <c r="O49" s="2">
        <f t="shared" si="6"/>
        <v>0.92869269949066224</v>
      </c>
    </row>
    <row r="50" spans="1:15" x14ac:dyDescent="0.2">
      <c r="A50" s="1" t="s">
        <v>49</v>
      </c>
      <c r="B50" s="1" t="str">
        <f t="shared" si="8"/>
        <v>2016</v>
      </c>
      <c r="C50" s="1" t="str">
        <f t="shared" si="9"/>
        <v>1</v>
      </c>
      <c r="D50">
        <v>11624143.9757649</v>
      </c>
      <c r="E50">
        <v>3774459.3708901801</v>
      </c>
      <c r="F50" s="2">
        <v>17529729.900009502</v>
      </c>
      <c r="G50" s="2">
        <f t="shared" si="2"/>
        <v>3.8021560560167526E-2</v>
      </c>
      <c r="H50" s="2">
        <f t="shared" si="3"/>
        <v>4.4606899985612944E-2</v>
      </c>
      <c r="I50" s="2">
        <f t="shared" si="4"/>
        <v>2.7409635663356177E-2</v>
      </c>
      <c r="J50" s="4">
        <v>48.30513868279133</v>
      </c>
      <c r="K50" s="5">
        <f t="shared" si="7"/>
        <v>-3.7690943084576135E-2</v>
      </c>
      <c r="L50" s="6">
        <v>1.0966666666666671</v>
      </c>
      <c r="M50" s="2">
        <f t="shared" si="5"/>
        <v>3.7681159420290062</v>
      </c>
      <c r="N50" s="2">
        <v>-0.41666666666666652</v>
      </c>
      <c r="O50" s="2">
        <f t="shared" si="6"/>
        <v>0.51171875000000022</v>
      </c>
    </row>
    <row r="51" spans="1:15" x14ac:dyDescent="0.2">
      <c r="A51" s="1" t="s">
        <v>50</v>
      </c>
      <c r="B51" s="1" t="str">
        <f t="shared" si="8"/>
        <v>2016</v>
      </c>
      <c r="C51" s="1" t="str">
        <f t="shared" si="9"/>
        <v>2</v>
      </c>
      <c r="D51">
        <v>11613478.100428199</v>
      </c>
      <c r="E51">
        <v>3728325.8361868798</v>
      </c>
      <c r="F51" s="2">
        <v>17600590.021931101</v>
      </c>
      <c r="G51" s="2">
        <f t="shared" si="2"/>
        <v>2.9464055034220425E-2</v>
      </c>
      <c r="H51" s="2">
        <f t="shared" si="3"/>
        <v>-3.0145876262363215E-3</v>
      </c>
      <c r="I51" s="2">
        <f t="shared" si="4"/>
        <v>1.9729346946338752E-2</v>
      </c>
      <c r="J51" s="4">
        <v>49.802489725739342</v>
      </c>
      <c r="K51" s="5">
        <f t="shared" si="7"/>
        <v>4.9676093936484476E-3</v>
      </c>
      <c r="L51" s="6">
        <v>1.52</v>
      </c>
      <c r="M51" s="2">
        <f t="shared" si="5"/>
        <v>3.1834862385321108</v>
      </c>
      <c r="N51" s="2">
        <v>-3.6666666666666625E-2</v>
      </c>
      <c r="O51" s="2">
        <f t="shared" si="6"/>
        <v>0.94786729857819907</v>
      </c>
    </row>
    <row r="52" spans="1:15" x14ac:dyDescent="0.2">
      <c r="A52" s="1" t="s">
        <v>51</v>
      </c>
      <c r="B52" s="1" t="str">
        <f t="shared" si="8"/>
        <v>2016</v>
      </c>
      <c r="C52" s="1" t="str">
        <f t="shared" si="9"/>
        <v>3</v>
      </c>
      <c r="D52">
        <v>11798812.680741901</v>
      </c>
      <c r="E52">
        <v>3747240.9035542798</v>
      </c>
      <c r="F52" s="2">
        <v>17770150.743998799</v>
      </c>
      <c r="G52" s="2">
        <f t="shared" si="2"/>
        <v>3.6275498880817089E-2</v>
      </c>
      <c r="H52" s="2">
        <f t="shared" si="3"/>
        <v>-2.8206135194478774E-2</v>
      </c>
      <c r="I52" s="2">
        <f t="shared" si="4"/>
        <v>1.7407484857184834E-2</v>
      </c>
      <c r="J52" s="4">
        <v>49.090811953524671</v>
      </c>
      <c r="K52" s="5">
        <f t="shared" si="7"/>
        <v>6.0412766087077968E-3</v>
      </c>
      <c r="L52" s="6">
        <v>1.8033333333333328</v>
      </c>
      <c r="M52" s="2">
        <f t="shared" si="5"/>
        <v>1.5761904761904764</v>
      </c>
      <c r="N52" s="2">
        <v>-3.6666666666666625E-2</v>
      </c>
      <c r="O52" s="2">
        <f t="shared" si="6"/>
        <v>0.92198581560283699</v>
      </c>
    </row>
    <row r="53" spans="1:15" x14ac:dyDescent="0.2">
      <c r="A53" s="1" t="s">
        <v>52</v>
      </c>
      <c r="B53" s="1" t="str">
        <f t="shared" si="8"/>
        <v>2016</v>
      </c>
      <c r="C53" s="1" t="str">
        <f t="shared" si="9"/>
        <v>4</v>
      </c>
      <c r="D53">
        <v>11948821.4375795</v>
      </c>
      <c r="E53">
        <v>3803806.4248568201</v>
      </c>
      <c r="F53" s="2">
        <v>17973458.0190726</v>
      </c>
      <c r="G53" s="2">
        <f t="shared" si="2"/>
        <v>3.4724697544747871E-2</v>
      </c>
      <c r="H53" s="2">
        <f t="shared" si="3"/>
        <v>2.3329018026554616E-2</v>
      </c>
      <c r="I53" s="2">
        <f t="shared" si="4"/>
        <v>3.117917040219409E-2</v>
      </c>
      <c r="J53" s="4">
        <v>48.004161814122675</v>
      </c>
      <c r="K53" s="5">
        <f t="shared" si="7"/>
        <v>-5.2142050814328898E-2</v>
      </c>
      <c r="L53" s="6">
        <v>2.1866666666666661</v>
      </c>
      <c r="M53" s="2">
        <f t="shared" si="5"/>
        <v>1.03095975232198</v>
      </c>
      <c r="N53" s="2">
        <v>-0.12000000000000055</v>
      </c>
      <c r="O53" s="2">
        <f t="shared" si="6"/>
        <v>0.14285714285713697</v>
      </c>
    </row>
    <row r="54" spans="1:15" x14ac:dyDescent="0.2">
      <c r="A54" s="1" t="s">
        <v>53</v>
      </c>
      <c r="B54" s="1" t="str">
        <f t="shared" si="8"/>
        <v>2017</v>
      </c>
      <c r="C54" s="1" t="str">
        <f t="shared" si="9"/>
        <v>1</v>
      </c>
      <c r="D54">
        <v>12061564.517233901</v>
      </c>
      <c r="E54">
        <v>3714976.5428314898</v>
      </c>
      <c r="F54" s="2">
        <v>18061215.7863486</v>
      </c>
      <c r="G54" s="2">
        <f t="shared" si="2"/>
        <v>3.7630344426305751E-2</v>
      </c>
      <c r="H54" s="2">
        <f t="shared" si="3"/>
        <v>-1.575929748176404E-2</v>
      </c>
      <c r="I54" s="2">
        <f t="shared" si="4"/>
        <v>3.0319114405682322E-2</v>
      </c>
      <c r="J54" s="4">
        <v>44.387881192841327</v>
      </c>
      <c r="K54" s="5">
        <f t="shared" si="7"/>
        <v>-8.1094011874672939E-2</v>
      </c>
      <c r="L54" s="6">
        <v>1.4233333333333329</v>
      </c>
      <c r="M54" s="2">
        <f t="shared" si="5"/>
        <v>0.29787234042553096</v>
      </c>
      <c r="N54" s="2">
        <v>-1.2266666666666666</v>
      </c>
      <c r="O54" s="2">
        <f t="shared" si="6"/>
        <v>-1.9440000000000008</v>
      </c>
    </row>
    <row r="55" spans="1:15" x14ac:dyDescent="0.2">
      <c r="A55" s="1" t="s">
        <v>54</v>
      </c>
      <c r="B55" s="1" t="str">
        <f t="shared" si="8"/>
        <v>2017</v>
      </c>
      <c r="C55" s="1" t="str">
        <f t="shared" si="9"/>
        <v>2</v>
      </c>
      <c r="D55">
        <v>12141704.6315678</v>
      </c>
      <c r="E55">
        <v>3703813.6785284202</v>
      </c>
      <c r="F55" s="2">
        <v>18123607.6518929</v>
      </c>
      <c r="G55" s="2">
        <f t="shared" si="2"/>
        <v>4.548392192000817E-2</v>
      </c>
      <c r="H55" s="2">
        <f t="shared" si="3"/>
        <v>-6.5745749527968463E-3</v>
      </c>
      <c r="I55" s="2">
        <f t="shared" si="4"/>
        <v>2.9715914597754797E-2</v>
      </c>
      <c r="J55" s="4">
        <v>48.565077444005659</v>
      </c>
      <c r="K55" s="5">
        <f t="shared" si="7"/>
        <v>-2.4846393996526498E-2</v>
      </c>
      <c r="L55" s="6">
        <v>0.92333333333333378</v>
      </c>
      <c r="M55" s="2">
        <f t="shared" si="5"/>
        <v>-0.39254385964912253</v>
      </c>
      <c r="N55" s="2">
        <v>-1.9100000000000001</v>
      </c>
      <c r="O55" s="2">
        <f t="shared" si="6"/>
        <v>-51.09090909090915</v>
      </c>
    </row>
    <row r="56" spans="1:15" x14ac:dyDescent="0.2">
      <c r="A56" s="1" t="s">
        <v>55</v>
      </c>
      <c r="B56" s="1" t="str">
        <f t="shared" si="8"/>
        <v>2017</v>
      </c>
      <c r="C56" s="1" t="str">
        <f t="shared" si="9"/>
        <v>3</v>
      </c>
      <c r="D56">
        <v>12153922.9827027</v>
      </c>
      <c r="E56">
        <v>3730174.64102061</v>
      </c>
      <c r="F56" s="2">
        <v>18047028.371772099</v>
      </c>
      <c r="G56" s="2">
        <f t="shared" si="2"/>
        <v>3.0097121767210799E-2</v>
      </c>
      <c r="H56" s="2">
        <f t="shared" si="3"/>
        <v>-4.554354249678043E-3</v>
      </c>
      <c r="I56" s="2">
        <f t="shared" si="4"/>
        <v>1.5581051154943343E-2</v>
      </c>
      <c r="J56" s="4">
        <v>50.10090554465166</v>
      </c>
      <c r="K56" s="5">
        <f t="shared" si="7"/>
        <v>2.0576021274271567E-2</v>
      </c>
      <c r="L56" s="6">
        <v>0.89333333333333176</v>
      </c>
      <c r="M56" s="2">
        <f t="shared" si="5"/>
        <v>-0.50462107208872531</v>
      </c>
      <c r="N56" s="2">
        <v>-2.0433333333333339</v>
      </c>
      <c r="O56" s="2">
        <f t="shared" si="6"/>
        <v>-54.727272727272805</v>
      </c>
    </row>
    <row r="57" spans="1:15" x14ac:dyDescent="0.2">
      <c r="A57" s="1" t="s">
        <v>56</v>
      </c>
      <c r="B57" s="1" t="str">
        <f t="shared" si="8"/>
        <v>2017</v>
      </c>
      <c r="C57" s="1" t="str">
        <f t="shared" si="9"/>
        <v>4</v>
      </c>
      <c r="D57">
        <v>12222323.2780474</v>
      </c>
      <c r="E57">
        <v>3734679.4081823202</v>
      </c>
      <c r="F57" s="2">
        <v>18299011.165620599</v>
      </c>
      <c r="G57" s="2">
        <f t="shared" si="2"/>
        <v>2.2889440761724524E-2</v>
      </c>
      <c r="H57" s="2">
        <f t="shared" si="3"/>
        <v>-1.8173116334935992E-2</v>
      </c>
      <c r="I57" s="2">
        <f t="shared" si="4"/>
        <v>1.8112994516833507E-2</v>
      </c>
      <c r="J57" s="4">
        <v>49.806454126685658</v>
      </c>
      <c r="K57" s="5">
        <f t="shared" si="7"/>
        <v>3.7544501235989798E-2</v>
      </c>
      <c r="L57" s="6">
        <v>0.83333333333333304</v>
      </c>
      <c r="M57" s="2">
        <f t="shared" si="5"/>
        <v>-0.61890243902439024</v>
      </c>
      <c r="N57" s="2">
        <v>-1.9766666666666666</v>
      </c>
      <c r="O57" s="2">
        <f t="shared" si="6"/>
        <v>-15.472222222222145</v>
      </c>
    </row>
    <row r="58" spans="1:15" x14ac:dyDescent="0.2">
      <c r="A58" s="1" t="s">
        <v>57</v>
      </c>
      <c r="B58" s="1" t="str">
        <f t="shared" si="8"/>
        <v>2018</v>
      </c>
      <c r="C58" s="1" t="str">
        <f t="shared" si="9"/>
        <v>1</v>
      </c>
      <c r="D58">
        <v>12463240.134933</v>
      </c>
      <c r="E58">
        <v>3822073.2463494502</v>
      </c>
      <c r="F58" s="2">
        <v>18511530.7284448</v>
      </c>
      <c r="G58" s="2">
        <f t="shared" si="2"/>
        <v>3.3302115751665078E-2</v>
      </c>
      <c r="H58" s="2">
        <f t="shared" si="3"/>
        <v>2.8828366016096878E-2</v>
      </c>
      <c r="I58" s="2">
        <f t="shared" si="4"/>
        <v>2.4932703723996596E-2</v>
      </c>
      <c r="J58" s="4">
        <v>50.271226174486664</v>
      </c>
      <c r="K58" s="5">
        <f t="shared" si="7"/>
        <v>0.1325439472112982</v>
      </c>
      <c r="L58" s="6">
        <v>2.4400000000000004</v>
      </c>
      <c r="M58" s="2">
        <f t="shared" si="5"/>
        <v>0.71428571428571508</v>
      </c>
      <c r="N58" s="2">
        <v>-0.45666666666666611</v>
      </c>
      <c r="O58" s="2">
        <f t="shared" si="6"/>
        <v>0.62771739130434823</v>
      </c>
    </row>
    <row r="59" spans="1:15" x14ac:dyDescent="0.2">
      <c r="A59" s="1" t="s">
        <v>58</v>
      </c>
      <c r="B59" s="1" t="str">
        <f t="shared" si="8"/>
        <v>2018</v>
      </c>
      <c r="C59" s="1" t="str">
        <f t="shared" si="9"/>
        <v>2</v>
      </c>
      <c r="D59">
        <v>12450881.0259712</v>
      </c>
      <c r="E59">
        <v>3804532.21433347</v>
      </c>
      <c r="F59" s="2">
        <v>18518193.4557871</v>
      </c>
      <c r="G59" s="2">
        <f t="shared" si="2"/>
        <v>2.5464002278523343E-2</v>
      </c>
      <c r="H59" s="2">
        <f t="shared" si="3"/>
        <v>2.719319721424723E-2</v>
      </c>
      <c r="I59" s="2">
        <f t="shared" si="4"/>
        <v>2.1771923751228821E-2</v>
      </c>
      <c r="J59" s="4">
        <v>50.729976321953338</v>
      </c>
      <c r="K59" s="5">
        <f t="shared" si="7"/>
        <v>4.4577276345204087E-2</v>
      </c>
      <c r="L59" s="6">
        <v>3.3033333333333328</v>
      </c>
      <c r="M59" s="2">
        <f t="shared" si="5"/>
        <v>2.5776173285198531</v>
      </c>
      <c r="N59" s="2">
        <v>0.49666666666666703</v>
      </c>
      <c r="O59" s="2">
        <f t="shared" si="6"/>
        <v>1.2600349040139618</v>
      </c>
    </row>
    <row r="60" spans="1:15" x14ac:dyDescent="0.2">
      <c r="A60" s="1" t="s">
        <v>59</v>
      </c>
      <c r="B60" s="1" t="str">
        <f t="shared" si="8"/>
        <v>2018</v>
      </c>
      <c r="C60" s="1" t="str">
        <f t="shared" si="9"/>
        <v>3</v>
      </c>
      <c r="D60">
        <v>12474857.7937745</v>
      </c>
      <c r="E60">
        <v>3758164.2442803099</v>
      </c>
      <c r="F60" s="2">
        <v>18547858.752121601</v>
      </c>
      <c r="G60" s="2">
        <f t="shared" si="2"/>
        <v>2.6405861838070734E-2</v>
      </c>
      <c r="H60" s="2">
        <f t="shared" si="3"/>
        <v>7.5035637613046647E-3</v>
      </c>
      <c r="I60" s="2">
        <f t="shared" si="4"/>
        <v>2.7751404277330548E-2</v>
      </c>
      <c r="J60" s="4">
        <v>52.484961786187661</v>
      </c>
      <c r="K60" s="5">
        <f t="shared" si="7"/>
        <v>4.7585092836520647E-2</v>
      </c>
      <c r="L60" s="6">
        <v>3.1966666666666672</v>
      </c>
      <c r="M60" s="2">
        <f t="shared" si="5"/>
        <v>2.5783582089552306</v>
      </c>
      <c r="N60" s="2">
        <v>0.43333333333333357</v>
      </c>
      <c r="O60" s="2">
        <f t="shared" si="6"/>
        <v>1.2120717781402937</v>
      </c>
    </row>
    <row r="61" spans="1:15" x14ac:dyDescent="0.2">
      <c r="A61" s="1" t="s">
        <v>60</v>
      </c>
      <c r="B61" s="1" t="str">
        <f t="shared" si="8"/>
        <v>2018</v>
      </c>
      <c r="C61" s="1" t="str">
        <f t="shared" si="9"/>
        <v>4</v>
      </c>
      <c r="D61">
        <v>12420543.5306716</v>
      </c>
      <c r="E61">
        <v>3632915.5067795501</v>
      </c>
      <c r="F61" s="2">
        <v>18531202.512231499</v>
      </c>
      <c r="G61" s="2">
        <f>(D61-D57)/ABS(D57)</f>
        <v>1.6217886576460096E-2</v>
      </c>
      <c r="H61" s="2">
        <f>(E61-E57)/ABS(E57)</f>
        <v>-2.7248363321310858E-2</v>
      </c>
      <c r="I61" s="2">
        <f>(F61-F57)/ABS(F57)</f>
        <v>1.2688737359050919E-2</v>
      </c>
      <c r="J61" s="4">
        <v>50.894424065600333</v>
      </c>
      <c r="K61" s="5">
        <f>(J61-J57)/ABS(J57)</f>
        <v>2.1843954924945255E-2</v>
      </c>
      <c r="L61" s="6">
        <v>3.4433333333333325</v>
      </c>
      <c r="M61" s="2">
        <f>(L61-L57)/ABS(L57)</f>
        <v>3.1320000000000006</v>
      </c>
      <c r="N61" s="2">
        <v>0.6466666666666665</v>
      </c>
      <c r="O61" s="2">
        <f>(N61-N57)/ABS(N57)</f>
        <v>1.3271500843170321</v>
      </c>
    </row>
    <row r="62" spans="1:15" x14ac:dyDescent="0.2">
      <c r="A62" s="2" t="s">
        <v>75</v>
      </c>
      <c r="B62" s="2" t="str">
        <f t="shared" si="8"/>
        <v>2019</v>
      </c>
      <c r="C62" s="2" t="str">
        <f t="shared" si="9"/>
        <v>1</v>
      </c>
      <c r="D62" s="2">
        <v>12498565.5328339</v>
      </c>
      <c r="E62" s="2">
        <v>3739250.75686885</v>
      </c>
      <c r="F62" s="2">
        <v>18579602.7452817</v>
      </c>
      <c r="G62" s="2">
        <f t="shared" ref="G62:I62" si="10">(D62-D58)/ABS(D58)</f>
        <v>2.8343671082680117E-3</v>
      </c>
      <c r="H62" s="2">
        <f t="shared" si="10"/>
        <v>-2.1669519169918026E-2</v>
      </c>
      <c r="I62" s="2">
        <f t="shared" si="10"/>
        <v>3.677276495146934E-3</v>
      </c>
      <c r="J62" s="4">
        <v>52.305087711063663</v>
      </c>
      <c r="K62" s="5">
        <f t="shared" ref="K62:K67" si="11">(J62-J58)/ABS(J58)</f>
        <v>4.045776662613438E-2</v>
      </c>
      <c r="L62">
        <v>4.4533333333333331</v>
      </c>
      <c r="M62" s="2">
        <f t="shared" ref="M62:M68" si="12">(L62-L58)/ABS(L58)</f>
        <v>0.82513661202185751</v>
      </c>
      <c r="N62">
        <v>1.5533333333333328</v>
      </c>
      <c r="O62" s="2">
        <f t="shared" ref="O62:O68" si="13">(N62-N58)/ABS(N58)</f>
        <v>4.4014598540146013</v>
      </c>
    </row>
    <row r="63" spans="1:15" x14ac:dyDescent="0.2">
      <c r="A63" s="2" t="s">
        <v>76</v>
      </c>
      <c r="B63" s="2" t="str">
        <f t="shared" si="8"/>
        <v>2019</v>
      </c>
      <c r="C63" s="2" t="str">
        <f t="shared" si="9"/>
        <v>2</v>
      </c>
      <c r="D63" s="2">
        <v>12550326.1369082</v>
      </c>
      <c r="E63" s="2">
        <v>3599029.14060156</v>
      </c>
      <c r="F63" s="2">
        <v>18561892.819200501</v>
      </c>
      <c r="G63" s="2">
        <f t="shared" ref="G63:I63" si="14">(D63-D59)/ABS(D59)</f>
        <v>7.9869939106772848E-3</v>
      </c>
      <c r="H63" s="2">
        <f t="shared" si="14"/>
        <v>-5.4015332806930327E-2</v>
      </c>
      <c r="I63" s="2">
        <f t="shared" si="14"/>
        <v>2.3598070469311632E-3</v>
      </c>
      <c r="J63" s="4">
        <v>52.599529971617663</v>
      </c>
      <c r="K63" s="5">
        <f t="shared" si="11"/>
        <v>3.6853036118120137E-2</v>
      </c>
      <c r="L63">
        <v>4.2933333333333321</v>
      </c>
      <c r="M63" s="2">
        <f t="shared" si="12"/>
        <v>0.29969727547931369</v>
      </c>
      <c r="N63">
        <v>1.5699999999999985</v>
      </c>
      <c r="O63" s="2">
        <f t="shared" si="13"/>
        <v>2.1610738255033501</v>
      </c>
    </row>
    <row r="64" spans="1:15" x14ac:dyDescent="0.2">
      <c r="A64" s="2" t="s">
        <v>77</v>
      </c>
      <c r="B64" s="2" t="str">
        <f t="shared" si="8"/>
        <v>2019</v>
      </c>
      <c r="C64" s="2" t="str">
        <f t="shared" si="9"/>
        <v>3</v>
      </c>
      <c r="D64" s="2">
        <v>12561763.8128429</v>
      </c>
      <c r="E64" s="2">
        <v>3518764.7993049701</v>
      </c>
      <c r="F64" s="2">
        <v>18525001.1858465</v>
      </c>
      <c r="G64" s="2">
        <f t="shared" ref="G64:I64" si="15">(D64-D60)/ABS(D60)</f>
        <v>6.9664937673092637E-3</v>
      </c>
      <c r="H64" s="2">
        <f t="shared" si="15"/>
        <v>-6.3701166158368613E-2</v>
      </c>
      <c r="I64" s="2">
        <f t="shared" si="15"/>
        <v>-1.2323560676504822E-3</v>
      </c>
      <c r="J64" s="4">
        <v>50.113050124237667</v>
      </c>
      <c r="K64" s="5">
        <f t="shared" si="11"/>
        <v>-4.5192214707379372E-2</v>
      </c>
      <c r="L64">
        <v>5.0366666666666671</v>
      </c>
      <c r="M64" s="2">
        <f t="shared" si="12"/>
        <v>0.57559958289885282</v>
      </c>
      <c r="N64">
        <v>3.186666666666667</v>
      </c>
      <c r="O64" s="2">
        <f t="shared" si="13"/>
        <v>6.3538461538461508</v>
      </c>
    </row>
    <row r="65" spans="1:15" x14ac:dyDescent="0.2">
      <c r="A65" s="2" t="s">
        <v>78</v>
      </c>
      <c r="B65" s="2" t="str">
        <f t="shared" si="8"/>
        <v>2019</v>
      </c>
      <c r="C65" s="2" t="str">
        <f t="shared" si="9"/>
        <v>4</v>
      </c>
      <c r="D65" s="2">
        <v>12500829.697531199</v>
      </c>
      <c r="E65" s="2">
        <v>3468210.0932711302</v>
      </c>
      <c r="F65" s="2">
        <v>18406850.075731602</v>
      </c>
      <c r="G65" s="2">
        <f t="shared" ref="G65:I65" si="16">(D65-D61)/ABS(D61)</f>
        <v>6.4639817622584844E-3</v>
      </c>
      <c r="H65" s="2">
        <f t="shared" si="16"/>
        <v>-4.5336978853776133E-2</v>
      </c>
      <c r="I65" s="2">
        <f t="shared" si="16"/>
        <v>-6.7104353545226602E-3</v>
      </c>
      <c r="J65" s="4">
        <v>49.09299470900433</v>
      </c>
      <c r="K65" s="5">
        <f t="shared" si="11"/>
        <v>-3.5395416878557302E-2</v>
      </c>
      <c r="L65">
        <v>4.9166666666666661</v>
      </c>
      <c r="M65" s="2">
        <f t="shared" si="12"/>
        <v>0.42787996127783173</v>
      </c>
      <c r="N65">
        <v>3.1633333333333327</v>
      </c>
      <c r="O65" s="2">
        <f t="shared" si="13"/>
        <v>3.891752577319588</v>
      </c>
    </row>
    <row r="66" spans="1:15" x14ac:dyDescent="0.2">
      <c r="A66" s="2" t="s">
        <v>79</v>
      </c>
      <c r="B66" s="2" t="str">
        <f t="shared" si="8"/>
        <v>2020</v>
      </c>
      <c r="C66" s="2" t="str">
        <f t="shared" si="9"/>
        <v>1</v>
      </c>
      <c r="D66" s="2">
        <v>12322308.267329801</v>
      </c>
      <c r="E66" s="2">
        <v>3396438.3699972499</v>
      </c>
      <c r="F66" s="2">
        <v>18179062.839198001</v>
      </c>
      <c r="G66" s="2">
        <f t="shared" ref="G66:I66" si="17">(D66-D62)/ABS(D62)</f>
        <v>-1.4102199571708387E-2</v>
      </c>
      <c r="H66" s="2">
        <f t="shared" si="17"/>
        <v>-9.1679432368066735E-2</v>
      </c>
      <c r="I66" s="2">
        <f t="shared" si="17"/>
        <v>-2.1558044678076694E-2</v>
      </c>
      <c r="J66" s="4">
        <v>45.874815958481001</v>
      </c>
      <c r="K66" s="5">
        <f t="shared" si="11"/>
        <v>-0.12293778739276486</v>
      </c>
      <c r="L66">
        <v>3.9433333333333329</v>
      </c>
      <c r="M66" s="2">
        <f t="shared" si="12"/>
        <v>-0.11452095808383239</v>
      </c>
      <c r="N66">
        <v>2.276666666666666</v>
      </c>
      <c r="O66" s="2">
        <f t="shared" si="13"/>
        <v>0.46566523605150217</v>
      </c>
    </row>
    <row r="67" spans="1:15" x14ac:dyDescent="0.2">
      <c r="A67" s="2" t="s">
        <v>80</v>
      </c>
      <c r="B67" s="2" t="str">
        <f t="shared" si="8"/>
        <v>2020</v>
      </c>
      <c r="C67" s="2" t="str">
        <f t="shared" si="9"/>
        <v>2</v>
      </c>
      <c r="D67" s="2">
        <v>9909705.3244374506</v>
      </c>
      <c r="E67" s="2">
        <v>2385857.25240089</v>
      </c>
      <c r="F67" s="2">
        <v>15097536.2707412</v>
      </c>
      <c r="G67" s="2">
        <f t="shared" ref="G67:I67" si="18">(D67-D63)/ABS(D63)</f>
        <v>-0.2104025651337593</v>
      </c>
      <c r="H67" s="2">
        <f t="shared" si="18"/>
        <v>-0.33708309680368254</v>
      </c>
      <c r="I67" s="2">
        <f t="shared" si="18"/>
        <v>-0.18663810755742299</v>
      </c>
      <c r="J67" s="4">
        <v>37.156580277121336</v>
      </c>
      <c r="K67" s="5">
        <f t="shared" si="11"/>
        <v>-0.29359482304935491</v>
      </c>
      <c r="L67">
        <v>3.2899999999999991</v>
      </c>
      <c r="M67" s="2">
        <f t="shared" si="12"/>
        <v>-0.23369565217391303</v>
      </c>
      <c r="N67">
        <v>2.1499999999999995</v>
      </c>
      <c r="O67" s="2">
        <f t="shared" si="13"/>
        <v>0.36942675159235766</v>
      </c>
    </row>
    <row r="68" spans="1:15" x14ac:dyDescent="0.2">
      <c r="A68" s="2" t="s">
        <v>81</v>
      </c>
      <c r="B68" s="2" t="str">
        <f t="shared" si="8"/>
        <v>2020</v>
      </c>
      <c r="C68" s="2" t="str">
        <f t="shared" si="9"/>
        <v>3</v>
      </c>
      <c r="D68" s="2">
        <v>10965265.6197387</v>
      </c>
      <c r="E68" s="2">
        <v>2886231.6214866498</v>
      </c>
      <c r="F68" s="2">
        <v>16927083.3469272</v>
      </c>
      <c r="G68" s="2">
        <f>(D68-D64)/ABS(D64)</f>
        <v>-0.12709188111560987</v>
      </c>
      <c r="H68" s="2">
        <f>(E68-E64)/ABS(E64)</f>
        <v>-0.17976000497198868</v>
      </c>
      <c r="I68" s="2">
        <f>(F68-F64)/ABS(F64)</f>
        <v>-8.6257367699395571E-2</v>
      </c>
      <c r="J68" s="4">
        <v>39.747030455332343</v>
      </c>
      <c r="K68" s="5">
        <f>(J68-J64)/ABS(J64)</f>
        <v>-0.20685269891188876</v>
      </c>
      <c r="L68">
        <v>1.0799999999999996</v>
      </c>
      <c r="M68" s="2">
        <f>(L68-L64)/ABS(L64)</f>
        <v>-0.78557246856386509</v>
      </c>
      <c r="N68">
        <v>3.0000000000000249E-2</v>
      </c>
      <c r="O68" s="2">
        <f t="shared" si="13"/>
        <v>-0.99058577405857728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encadenada</vt:lpstr>
    </vt:vector>
  </TitlesOfParts>
  <Company>Instituto Nacional de Información Estadística y Geográfica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Consulta generada del Banco de Información Económica</dc:title>
  <dc:subject>Banco de Información Económica</dc:subject>
  <dc:creator>INEGI</dc:creator>
  <dc:description>Este archivo fue generado en la fecha(del servidor de aplicaciones): 2/5/2021 4:05:10 PM</dc:description>
  <cp:lastModifiedBy>LAPTOP</cp:lastModifiedBy>
  <dcterms:created xsi:type="dcterms:W3CDTF">2021-02-05T22:36:08Z</dcterms:created>
  <dcterms:modified xsi:type="dcterms:W3CDTF">2021-03-02T21:49:47Z</dcterms:modified>
</cp:coreProperties>
</file>